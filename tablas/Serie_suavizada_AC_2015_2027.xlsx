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juste_por_estrato" sheetId="1" state="visible" r:id="rId3"/>
    <sheet name="Serie_estrato" sheetId="2" state="visible" r:id="rId4"/>
    <sheet name="Ciudad_postestratificada" sheetId="3" state="visible" r:id="rId5"/>
    <sheet name="Imputacion_catastro" sheetId="4" state="visible" r:id="rId6"/>
    <sheet name="Ciudad_catastro" sheetId="5" state="visible" r:id="rId7"/>
    <sheet name="Por_posic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<sst xmlns="http://schemas.openxmlformats.org/spreadsheetml/2006/main" count="501" uniqueCount="95">
  <si>
    <t xml:space="preserve">Estrato</t>
  </si>
  <si>
    <t xml:space="preserve">b0 (logit en 2021)</t>
  </si>
  <si>
    <t xml:space="preserve">b1 (cambio del logit por año)</t>
  </si>
  <si>
    <t xml:space="preserve">EE de b1</t>
  </si>
  <si>
    <t xml:space="preserve">p de b1</t>
  </si>
  <si>
    <t xml:space="preserve">Sobredispersión (escala)</t>
  </si>
  <si>
    <t xml:space="preserve">Olas usadas</t>
  </si>
  <si>
    <t xml:space="preserve">Hogares en el ajuste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</si>
  <si>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</si>
  <si>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</si>
  <si>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</si>
  <si>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</si>
  <si>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</si>
  <si>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</si>
  <si>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Modelo por estrato: logit(p) = b0 + b1·(año − 2021). GLM binomial con las tasas ponderadas de la ECV (P1077S11) y var_weights = n hogares.</t>
  </si>
  <si>
    <t xml:space="preserve">Olas: 2018, 2019, 2021, 2022, 2023, 2024, 2025. 2020 se excluye (encuesta en parte telefónica; año excluido de la calibración en la propuesta).</t>
  </si>
  <si>
    <t xml:space="preserve">Sobredispersión = estadístico de Pearson / gl (mínimo 1): cuánto varían las olas más de lo que explica el muestreo. Infla la varianza de cada año.</t>
  </si>
  <si>
    <t xml:space="preserve">Valores calculados en Python (serie_suavizada.py).</t>
  </si>
  <si>
    <t xml:space="preserve">Año</t>
  </si>
  <si>
    <t xml:space="preserve">Tipo de dato</t>
  </si>
  <si>
    <t xml:space="preserve">n ECV</t>
  </si>
  <si>
    <t xml:space="preserve">p observada (ECV)</t>
  </si>
  <si>
    <t xml:space="preserve">p suavizada (media)</t>
  </si>
  <si>
    <t xml:space="preserve">DE</t>
  </si>
  <si>
    <t xml:space="preserve">IC90 inf</t>
  </si>
  <si>
    <t xml:space="preserve">IC90 sup</t>
  </si>
  <si>
    <t xml:space="preserve">Beta alfa</t>
  </si>
  <si>
    <t xml:space="preserve">Beta beta</t>
  </si>
  <si>
    <t xml:space="preserve">Control: media Beta</t>
  </si>
  <si>
    <t xml:space="preserve">2015</t>
  </si>
  <si>
    <t xml:space="preserve">extrapolado</t>
  </si>
  <si>
    <t xml:space="preserve">2016</t>
  </si>
  <si>
    <t xml:space="preserve">2017</t>
  </si>
  <si>
    <t xml:space="preserve">2018</t>
  </si>
  <si>
    <t xml:space="preserve">observado y ajustado</t>
  </si>
  <si>
    <t xml:space="preserve">2019</t>
  </si>
  <si>
    <t xml:space="preserve">2020</t>
  </si>
  <si>
    <t xml:space="preserve">observado, no usado en el ajuste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</si>
  <si>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</si>
  <si>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</si>
  <si>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</si>
  <si>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</si>
  <si>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</si>
  <si>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</si>
  <si>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</si>
  <si>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p suavizada y DE: del modelo de Ajuste_por_estrato (método delta, con sobredispersión). IC90 en escala logit.</t>
  </si>
  <si>
    <t xml:space="preserve">Beta por momentos: alfa = m·(m(1−m)/DE² − 1), beta = (1 − m)·(m(1−m)/DE² − 1). Es el prior de tenencia de cada estrato y año.</t>
  </si>
  <si>
    <t xml:space="preserve">2015-2017 y 2026-2027 son extrapolaciones de la tendencia (no hay ECV de Barranquilla para 2015-2017): su incertidumbre es mayor.</t>
  </si>
  <si>
    <t xml:space="preserve">Peso SUI E1</t>
  </si>
  <si>
    <t xml:space="preserve">Peso SUI E2</t>
  </si>
  <si>
    <t xml:space="preserve">Peso SUI E3</t>
  </si>
  <si>
    <t xml:space="preserve">Peso SUI E4</t>
  </si>
  <si>
    <t xml:space="preserve">Peso SUI E5</t>
  </si>
  <si>
    <t xml:space="preserve">Peso SUI E6</t>
  </si>
  <si>
    <t xml:space="preserve">p suavizada E1</t>
  </si>
  <si>
    <t xml:space="preserve">p suavizada E2</t>
  </si>
  <si>
    <t xml:space="preserve">p suavizada E3</t>
  </si>
  <si>
    <t xml:space="preserve">p suavizada E4</t>
  </si>
  <si>
    <t xml:space="preserve">p suavizada E5</t>
  </si>
  <si>
    <t xml:space="preserve">p suavizada E6</t>
  </si>
  <si>
    <t xml:space="preserve">% AC ciudad (suavizada)</t>
  </si>
  <si>
    <t xml:space="preserve">DE (pp)</t>
  </si>
  <si>
    <t xml:space="preserve">% AC ciudad (sin suavizar)</t>
  </si>
  <si>
    <t xml:space="preserve">Pesos = suscriptores SUI de diciembre de cada año por estrato / total E1-E6. 2026 y 2027 usan los de diciembre de 2025.</t>
  </si>
  <si>
    <t xml:space="preserve">Sin suavizar = serie postestratificada de Postestratificacion_AC_2018_2025.xlsx, para comparar.</t>
  </si>
  <si>
    <t xml:space="preserve">p objetivo (suavizada)</t>
  </si>
  <si>
    <t xml:space="preserve">Intercepto a</t>
  </si>
  <si>
    <t xml:space="preserve">b asbesto</t>
  </si>
  <si>
    <t xml:space="preserve">b zinc/otro</t>
  </si>
  <si>
    <t xml:space="preserve">P(AC|concreto)</t>
  </si>
  <si>
    <t xml:space="preserve">P(AC|asbesto)</t>
  </si>
  <si>
    <t xml:space="preserve">P(AC|zinc/otro)</t>
  </si>
  <si>
    <t xml:space="preserve">Viviendas catastro</t>
  </si>
  <si>
    <t xml:space="preserve">Fracción en edificio 4+</t>
  </si>
  <si>
    <t xml:space="preserve">Concreto en hasta 3 pisos</t>
  </si>
  <si>
    <t xml:space="preserve">Asbesto en hasta 3 pisos</t>
  </si>
  <si>
    <t xml:space="preserve">Zinc/otro en hasta 3 pisos</t>
  </si>
  <si>
    <t xml:space="preserve">P(AC) edificio 4+</t>
  </si>
  <si>
    <t xml:space="preserve">P(AC) hasta 3 pisos</t>
  </si>
  <si>
    <t xml:space="preserve">P(AC) estrato (catastro)</t>
  </si>
  <si>
    <t xml:space="preserve">Control: diferencia con objetivo</t>
  </si>
  <si>
    <t xml:space="preserve">Viviendas con AC esperadas</t>
  </si>
  <si>
    <t xml:space="preserve">Intercepto a calculado en Python (método de Brent) para que la media de las viviendas del catastro del estrato sea igual a la p objetivo (columna R = control, debe ser 0). Así E1 queda forzado a la ECV.</t>
  </si>
  <si>
    <t xml:space="preserve">b de techo: modelo M2 (techo + estrato) de la ECV 2024. Mezcla de techos: ECV 2024 para todos los años (simplificación: solo cambia el reparto dentro del estrato, no su total).</t>
  </si>
  <si>
    <t xml:space="preserve">Supuesto: vivienda en edificio de 4+ pisos (uso catastral "Apartamentos") = techo de concreto. Si cambia la p objetivo hay que recalcular a (imputacion_catastro_anual.py).</t>
  </si>
  <si>
    <t xml:space="preserve">Viviendas</t>
  </si>
  <si>
    <t xml:space="preserve">% AC ciudad (catastro)</t>
  </si>
  <si>
    <t xml:space="preserve">Posición frente a la cubierta</t>
  </si>
  <si>
    <t xml:space="preserve">P(AC) media 2019</t>
  </si>
  <si>
    <t xml:space="preserve">P(AC) media 2024</t>
  </si>
  <si>
    <t xml:space="preserve">Casa (suelo y cubierta propia)</t>
  </si>
  <si>
    <t xml:space="preserve">Piso intermedio</t>
  </si>
  <si>
    <t xml:space="preserve">Primer piso con vivienda encima</t>
  </si>
  <si>
    <t xml:space="preserve">Sin dato de piso</t>
  </si>
  <si>
    <t xml:space="preserve">Último piso (bajo cubierta)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</si>
</sst>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0.0%"/>
    <numFmt numFmtId="167" formatCode="0.00"/>
    <numFmt numFmtId="168" formatCode="0.0"/>
    <numFmt numFmtId="169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3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2" t="n">
        <v>-2.2341597744092</v>
      </c>
      <c r="C2" s="2" t="n">
        <v>0.118151767354127</v>
      </c>
      <c r="D2" s="2" t="n">
        <v>0.0547378755117256</v>
      </c>
      <c r="E2" s="2" t="n">
        <v>0.0308888889357695</v>
      </c>
      <c r="F2" s="2" t="n">
        <v>3.56861759287509</v>
      </c>
      <c r="G2" s="3" t="n">
        <v>7</v>
      </c>
      <c r="H2" s="3" t="n">
        <v>2164</v>
      </c>
    </row>
    <row r="3" customFormat="false" ht="15" hidden="false" customHeight="false" outlineLevel="0" collapsed="false">
      <c r="A3" s="0" t="s">
        <v>9</v>
      </c>
      <c r="B3" s="2" t="n">
        <v>-0.985409963615622</v>
      </c>
      <c r="C3" s="2" t="n">
        <v>0.0378119739040201</v>
      </c>
      <c r="D3" s="2" t="n">
        <v>0.0434927704351477</v>
      </c>
      <c r="E3" s="2" t="n">
        <v>0.384636437935882</v>
      </c>
      <c r="F3" s="2" t="n">
        <v>2.48224010015588</v>
      </c>
      <c r="G3" s="3" t="n">
        <v>7</v>
      </c>
      <c r="H3" s="3" t="n">
        <v>1239</v>
      </c>
    </row>
    <row r="4" customFormat="false" ht="15" hidden="false" customHeight="false" outlineLevel="0" collapsed="false">
      <c r="A4" s="0" t="s">
        <v>10</v>
      </c>
      <c r="B4" s="2" t="n">
        <v>-0.281250526149059</v>
      </c>
      <c r="C4" s="2" t="n">
        <v>0.0734354734562388</v>
      </c>
      <c r="D4" s="2" t="n">
        <v>0.0270442791828279</v>
      </c>
      <c r="E4" s="2" t="n">
        <v>0.00661999204403241</v>
      </c>
      <c r="F4" s="2" t="n">
        <v>1</v>
      </c>
      <c r="G4" s="3" t="n">
        <v>7</v>
      </c>
      <c r="H4" s="3" t="n">
        <v>966</v>
      </c>
    </row>
    <row r="5" customFormat="false" ht="15" hidden="false" customHeight="false" outlineLevel="0" collapsed="false">
      <c r="A5" s="0" t="s">
        <v>11</v>
      </c>
      <c r="B5" s="2" t="n">
        <v>1.04993788203034</v>
      </c>
      <c r="C5" s="2" t="n">
        <v>0.0907081010797859</v>
      </c>
      <c r="D5" s="2" t="n">
        <v>0.108151174227757</v>
      </c>
      <c r="E5" s="2" t="n">
        <v>0.401628797066851</v>
      </c>
      <c r="F5" s="2" t="n">
        <v>6.75766040995483</v>
      </c>
      <c r="G5" s="3" t="n">
        <v>7</v>
      </c>
      <c r="H5" s="3" t="n">
        <v>554</v>
      </c>
    </row>
    <row r="6" customFormat="false" ht="15" hidden="false" customHeight="false" outlineLevel="0" collapsed="false">
      <c r="A6" s="0" t="s">
        <v>12</v>
      </c>
      <c r="B6" s="2" t="n">
        <v>1.80526693400603</v>
      </c>
      <c r="C6" s="2" t="n">
        <v>0.0721909186347778</v>
      </c>
      <c r="D6" s="2" t="n">
        <v>0.114484574742291</v>
      </c>
      <c r="E6" s="2" t="n">
        <v>0.528319546796689</v>
      </c>
      <c r="F6" s="2" t="n">
        <v>2.28160557597084</v>
      </c>
      <c r="G6" s="3" t="n">
        <v>7</v>
      </c>
      <c r="H6" s="3" t="n">
        <v>268</v>
      </c>
    </row>
    <row r="7" customFormat="false" ht="15" hidden="false" customHeight="false" outlineLevel="0" collapsed="false">
      <c r="A7" s="0" t="s">
        <v>13</v>
      </c>
      <c r="B7" s="2" t="n">
        <v>3.82953907912407</v>
      </c>
      <c r="C7" s="2" t="n">
        <v>0.188190952280125</v>
      </c>
      <c r="D7" s="2" t="n">
        <v>0.228301758544017</v>
      </c>
      <c r="E7" s="2" t="n">
        <v>0.40976460823224</v>
      </c>
      <c r="F7" s="2" t="n">
        <v>1.02706430224897</v>
      </c>
      <c r="G7" s="3" t="n">
        <v>7</v>
      </c>
      <c r="H7" s="3" t="n">
        <v>212</v>
      </c>
    </row>
    <row r="9" customFormat="false" ht="15" hidden="false" customHeight="false" outlineLevel="0" collapsed="false">
      <c r="A9" s="4" t="s">
        <v>14</v>
      </c>
    </row>
    <row r="10" customFormat="false" ht="15" hidden="false" customHeight="false" outlineLevel="0" collapsed="false">
      <c r="A10" s="4" t="s">
        <v>15</v>
      </c>
    </row>
    <row r="11" customFormat="false" ht="15" hidden="false" customHeight="false" outlineLevel="0" collapsed="false">
      <c r="A11" s="4" t="s">
        <v>16</v>
      </c>
    </row>
    <row r="12" customFormat="false" ht="15" hidden="false" customHeight="false" outlineLevel="0" collapsed="false">
      <c r="A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6"/>
    <col collapsed="false" customWidth="true" hidden="false" outlineLevel="0" max="12" min="4" style="0" width="13"/>
  </cols>
  <sheetData>
    <row r="1" customFormat="false" ht="48" hidden="false" customHeight="true" outlineLevel="0" collapsed="false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</row>
    <row r="2" customFormat="false" ht="15" hidden="false" customHeight="false" outlineLevel="0" collapsed="false">
      <c r="A2" s="0" t="s">
        <v>8</v>
      </c>
      <c r="B2" s="0" t="s">
        <v>29</v>
      </c>
      <c r="C2" s="0" t="s">
        <v>30</v>
      </c>
      <c r="D2" s="3"/>
      <c r="E2" s="5"/>
      <c r="F2" s="5" t="n">
        <v>0.0500650485813777</v>
      </c>
      <c r="G2" s="5" t="n">
        <v>0.019118697834847</v>
      </c>
      <c r="H2" s="5" t="n">
        <v>0.0264841907625106</v>
      </c>
      <c r="I2" s="5" t="n">
        <v>0.0926436647905636</v>
      </c>
      <c r="J2" s="6" t="n">
        <f aca="false">F2*(F2*(1-F2)/G2^2-1)</f>
        <v>6.46391662371857</v>
      </c>
      <c r="K2" s="6" t="n">
        <f aca="false">(1-F2)*(F2*(1-F2)/G2^2-1)</f>
        <v>122.646446930845</v>
      </c>
      <c r="L2" s="7" t="n">
        <f aca="false">J2/(J2+K2)</f>
        <v>0.0500650485813777</v>
      </c>
    </row>
    <row r="3" customFormat="false" ht="15" hidden="false" customHeight="false" outlineLevel="0" collapsed="false">
      <c r="A3" s="0" t="s">
        <v>8</v>
      </c>
      <c r="B3" s="0" t="s">
        <v>31</v>
      </c>
      <c r="C3" s="0" t="s">
        <v>30</v>
      </c>
      <c r="D3" s="3"/>
      <c r="E3" s="5"/>
      <c r="F3" s="5" t="n">
        <v>0.0559923808942897</v>
      </c>
      <c r="G3" s="5" t="n">
        <v>0.0185455466900222</v>
      </c>
      <c r="H3" s="5" t="n">
        <v>0.0322303636612289</v>
      </c>
      <c r="I3" s="5" t="n">
        <v>0.0955435387291688</v>
      </c>
      <c r="J3" s="6" t="n">
        <f aca="false">F3*(F3*(1-F3)/G3^2-1)</f>
        <v>8.54907130810346</v>
      </c>
      <c r="K3" s="6" t="n">
        <f aca="false">(1-F3)*(F3*(1-F3)/G3^2-1)</f>
        <v>144.133689659743</v>
      </c>
      <c r="L3" s="7" t="n">
        <f aca="false">J3/(J3+K3)</f>
        <v>0.0559923808942897</v>
      </c>
    </row>
    <row r="4" customFormat="false" ht="15" hidden="false" customHeight="false" outlineLevel="0" collapsed="false">
      <c r="A4" s="0" t="s">
        <v>8</v>
      </c>
      <c r="B4" s="0" t="s">
        <v>32</v>
      </c>
      <c r="C4" s="0" t="s">
        <v>30</v>
      </c>
      <c r="D4" s="3"/>
      <c r="E4" s="5"/>
      <c r="F4" s="5" t="n">
        <v>0.0625752389494167</v>
      </c>
      <c r="G4" s="5" t="n">
        <v>0.0176557230970835</v>
      </c>
      <c r="H4" s="5" t="n">
        <v>0.0390946934010282</v>
      </c>
      <c r="I4" s="5" t="n">
        <v>0.0987096666432541</v>
      </c>
      <c r="J4" s="6" t="n">
        <f aca="false">F4*(F4*(1-F4)/G4^2-1)</f>
        <v>11.7126828892251</v>
      </c>
      <c r="K4" s="6" t="n">
        <f aca="false">(1-F4)*(F4*(1-F4)/G4^2-1)</f>
        <v>175.464914605738</v>
      </c>
      <c r="L4" s="7" t="n">
        <f aca="false">J4/(J4+K4)</f>
        <v>0.0625752389494167</v>
      </c>
    </row>
    <row r="5" customFormat="false" ht="15" hidden="false" customHeight="false" outlineLevel="0" collapsed="false">
      <c r="A5" s="0" t="s">
        <v>8</v>
      </c>
      <c r="B5" s="0" t="s">
        <v>33</v>
      </c>
      <c r="C5" s="0" t="s">
        <v>34</v>
      </c>
      <c r="D5" s="3" t="n">
        <v>385</v>
      </c>
      <c r="E5" s="5" t="n">
        <v>0.0992976142976519</v>
      </c>
      <c r="F5" s="5" t="n">
        <v>0.0698747385857696</v>
      </c>
      <c r="G5" s="5" t="n">
        <v>0.0164514322202736</v>
      </c>
      <c r="H5" s="5" t="n">
        <v>0.0471999405361815</v>
      </c>
      <c r="I5" s="5" t="n">
        <v>0.102273238660814</v>
      </c>
      <c r="J5" s="6" t="n">
        <f aca="false">F5*(F5*(1-F5)/G5^2-1)</f>
        <v>16.7094472016715</v>
      </c>
      <c r="K5" s="6" t="n">
        <f aca="false">(1-F5)*(F5*(1-F5)/G5^2-1)</f>
        <v>222.424859986627</v>
      </c>
      <c r="L5" s="7" t="n">
        <f aca="false">J5/(J5+K5)</f>
        <v>0.0698747385857696</v>
      </c>
    </row>
    <row r="6" customFormat="false" ht="15" hidden="false" customHeight="false" outlineLevel="0" collapsed="false">
      <c r="A6" s="0" t="s">
        <v>8</v>
      </c>
      <c r="B6" s="0" t="s">
        <v>35</v>
      </c>
      <c r="C6" s="0" t="s">
        <v>34</v>
      </c>
      <c r="D6" s="3" t="n">
        <v>436</v>
      </c>
      <c r="E6" s="5" t="n">
        <v>0.0758562237546712</v>
      </c>
      <c r="F6" s="5" t="n">
        <v>0.0779549269044743</v>
      </c>
      <c r="G6" s="5" t="n">
        <v>0.0149996854580993</v>
      </c>
      <c r="H6" s="5" t="n">
        <v>0.0565858541207273</v>
      </c>
      <c r="I6" s="5" t="n">
        <v>0.106482974598638</v>
      </c>
      <c r="J6" s="6" t="n">
        <f aca="false">F6*(F6*(1-F6)/G6^2-1)</f>
        <v>24.8263820899111</v>
      </c>
      <c r="K6" s="6" t="n">
        <f aca="false">(1-F6)*(F6*(1-F6)/G6^2-1)</f>
        <v>293.644599485548</v>
      </c>
      <c r="L6" s="7" t="n">
        <f aca="false">J6/(J6+K6)</f>
        <v>0.0779549269044743</v>
      </c>
    </row>
    <row r="7" customFormat="false" ht="15" hidden="false" customHeight="false" outlineLevel="0" collapsed="false">
      <c r="A7" s="0" t="s">
        <v>8</v>
      </c>
      <c r="B7" s="0" t="s">
        <v>36</v>
      </c>
      <c r="C7" s="0" t="s">
        <v>37</v>
      </c>
      <c r="D7" s="3" t="n">
        <v>254</v>
      </c>
      <c r="E7" s="5" t="n">
        <v>0.0610572926657715</v>
      </c>
      <c r="F7" s="5" t="n">
        <v>0.0868822140858275</v>
      </c>
      <c r="G7" s="5" t="n">
        <v>0.0135135490845848</v>
      </c>
      <c r="H7" s="5" t="n">
        <v>0.0670747331842308</v>
      </c>
      <c r="I7" s="5" t="n">
        <v>0.111837737664546</v>
      </c>
      <c r="J7" s="6" t="n">
        <f aca="false">F7*(F7*(1-F7)/G7^2-1)</f>
        <v>37.6572734753632</v>
      </c>
      <c r="K7" s="6" t="n">
        <f aca="false">(1-F7)*(F7*(1-F7)/G7^2-1)</f>
        <v>395.771753070428</v>
      </c>
      <c r="L7" s="7" t="n">
        <f aca="false">J7/(J7+K7)</f>
        <v>0.0868822140858275</v>
      </c>
    </row>
    <row r="8" customFormat="false" ht="15" hidden="false" customHeight="false" outlineLevel="0" collapsed="false">
      <c r="A8" s="0" t="s">
        <v>8</v>
      </c>
      <c r="B8" s="0" t="s">
        <v>38</v>
      </c>
      <c r="C8" s="0" t="s">
        <v>34</v>
      </c>
      <c r="D8" s="3" t="n">
        <v>244</v>
      </c>
      <c r="E8" s="5" t="n">
        <v>0.0537748531804995</v>
      </c>
      <c r="F8" s="5" t="n">
        <v>0.0967245956976031</v>
      </c>
      <c r="G8" s="5" t="n">
        <v>0.0125014326240736</v>
      </c>
      <c r="H8" s="5" t="n">
        <v>0.078021372757946</v>
      </c>
      <c r="I8" s="5" t="n">
        <v>0.119331041635089</v>
      </c>
      <c r="J8" s="6" t="n">
        <f aca="false">F8*(F8*(1-F8)/G8^2-1)</f>
        <v>53.9755279362727</v>
      </c>
      <c r="K8" s="6" t="n">
        <f aca="false">(1-F8)*(F8*(1-F8)/G8^2-1)</f>
        <v>504.057592253965</v>
      </c>
      <c r="L8" s="7" t="n">
        <f aca="false">J8/(J8+K8)</f>
        <v>0.0967245956976031</v>
      </c>
    </row>
    <row r="9" customFormat="false" ht="15" hidden="false" customHeight="false" outlineLevel="0" collapsed="false">
      <c r="A9" s="0" t="s">
        <v>8</v>
      </c>
      <c r="B9" s="0" t="s">
        <v>39</v>
      </c>
      <c r="C9" s="0" t="s">
        <v>34</v>
      </c>
      <c r="D9" s="3" t="n">
        <v>277</v>
      </c>
      <c r="E9" s="5" t="n">
        <v>0.0727254402257642</v>
      </c>
      <c r="F9" s="5" t="n">
        <v>0.107550636072024</v>
      </c>
      <c r="G9" s="5" t="n">
        <v>0.0128509176561204</v>
      </c>
      <c r="H9" s="5" t="n">
        <v>0.0881647826459598</v>
      </c>
      <c r="I9" s="5" t="n">
        <v>0.13058862165427</v>
      </c>
      <c r="J9" s="6" t="n">
        <f aca="false">F9*(F9*(1-F9)/G9^2-1)</f>
        <v>62.4012648340658</v>
      </c>
      <c r="K9" s="6" t="n">
        <f aca="false">(1-F9)*(F9*(1-F9)/G9^2-1)</f>
        <v>517.80232217473</v>
      </c>
      <c r="L9" s="7" t="n">
        <f aca="false">J9/(J9+K9)</f>
        <v>0.107550636072024</v>
      </c>
    </row>
    <row r="10" customFormat="false" ht="15" hidden="false" customHeight="false" outlineLevel="0" collapsed="false">
      <c r="A10" s="0" t="s">
        <v>8</v>
      </c>
      <c r="B10" s="0" t="s">
        <v>40</v>
      </c>
      <c r="C10" s="0" t="s">
        <v>34</v>
      </c>
      <c r="D10" s="3" t="n">
        <v>265</v>
      </c>
      <c r="E10" s="5" t="n">
        <v>0.117739326158824</v>
      </c>
      <c r="F10" s="5" t="n">
        <v>0.119428186908099</v>
      </c>
      <c r="G10" s="5" t="n">
        <v>0.015373419131768</v>
      </c>
      <c r="H10" s="5" t="n">
        <v>0.096361001626088</v>
      </c>
      <c r="I10" s="5" t="n">
        <v>0.147118264451086</v>
      </c>
      <c r="J10" s="6" t="n">
        <f aca="false">F10*(F10*(1-F10)/G10^2-1)</f>
        <v>53.022526233884</v>
      </c>
      <c r="K10" s="6" t="n">
        <f aca="false">(1-F10)*(F10*(1-F10)/G10^2-1)</f>
        <v>390.947424299529</v>
      </c>
      <c r="L10" s="7" t="n">
        <f aca="false">J10/(J10+K10)</f>
        <v>0.119428186908099</v>
      </c>
    </row>
    <row r="11" customFormat="false" ht="15" hidden="false" customHeight="false" outlineLevel="0" collapsed="false">
      <c r="A11" s="0" t="s">
        <v>8</v>
      </c>
      <c r="B11" s="0" t="s">
        <v>41</v>
      </c>
      <c r="C11" s="0" t="s">
        <v>34</v>
      </c>
      <c r="D11" s="3" t="n">
        <v>250</v>
      </c>
      <c r="E11" s="5" t="n">
        <v>0.124220182254068</v>
      </c>
      <c r="F11" s="5" t="n">
        <v>0.132422822144913</v>
      </c>
      <c r="G11" s="5" t="n">
        <v>0.0201645990976215</v>
      </c>
      <c r="H11" s="5" t="n">
        <v>0.102621564767565</v>
      </c>
      <c r="I11" s="5" t="n">
        <v>0.169246150307455</v>
      </c>
      <c r="J11" s="6" t="n">
        <f aca="false">F11*(F11*(1-F11)/G11^2-1)</f>
        <v>37.2833408186568</v>
      </c>
      <c r="K11" s="6" t="n">
        <f aca="false">(1-F11)*(F11*(1-F11)/G11^2-1)</f>
        <v>244.264357793724</v>
      </c>
      <c r="L11" s="7" t="n">
        <f aca="false">J11/(J11+K11)</f>
        <v>0.132422822144913</v>
      </c>
    </row>
    <row r="12" customFormat="false" ht="15" hidden="false" customHeight="false" outlineLevel="0" collapsed="false">
      <c r="A12" s="0" t="s">
        <v>8</v>
      </c>
      <c r="B12" s="0" t="s">
        <v>42</v>
      </c>
      <c r="C12" s="0" t="s">
        <v>34</v>
      </c>
      <c r="D12" s="3" t="n">
        <v>307</v>
      </c>
      <c r="E12" s="5" t="n">
        <v>0.186373674642199</v>
      </c>
      <c r="F12" s="5" t="n">
        <v>0.146595981100714</v>
      </c>
      <c r="G12" s="5" t="n">
        <v>0.0269006374074464</v>
      </c>
      <c r="H12" s="5" t="n">
        <v>0.107621850578392</v>
      </c>
      <c r="I12" s="5" t="n">
        <v>0.196575105657512</v>
      </c>
      <c r="J12" s="6" t="n">
        <f aca="false">F12*(F12*(1-F12)/G12^2-1)</f>
        <v>25.1973171379313</v>
      </c>
      <c r="K12" s="6" t="n">
        <f aca="false">(1-F12)*(F12*(1-F12)/G12^2-1)</f>
        <v>146.685410810936</v>
      </c>
      <c r="L12" s="7" t="n">
        <f aca="false">J12/(J12+K12)</f>
        <v>0.146595981100714</v>
      </c>
    </row>
    <row r="13" customFormat="false" ht="15" hidden="false" customHeight="false" outlineLevel="0" collapsed="false">
      <c r="A13" s="0" t="s">
        <v>8</v>
      </c>
      <c r="B13" s="0" t="s">
        <v>43</v>
      </c>
      <c r="C13" s="0" t="s">
        <v>30</v>
      </c>
      <c r="D13" s="3"/>
      <c r="E13" s="5"/>
      <c r="F13" s="5" t="n">
        <v>0.162002827493082</v>
      </c>
      <c r="G13" s="5" t="n">
        <v>0.0353118039783039</v>
      </c>
      <c r="H13" s="5" t="n">
        <v>0.111919788197863</v>
      </c>
      <c r="I13" s="5" t="n">
        <v>0.228725411982235</v>
      </c>
      <c r="J13" s="6" t="n">
        <f aca="false">F13*(F13*(1-F13)/G13^2-1)</f>
        <v>17.4759400728666</v>
      </c>
      <c r="K13" s="6" t="n">
        <f aca="false">(1-F13)*(F13*(1-F13)/G13^2-1)</f>
        <v>90.398350415137</v>
      </c>
      <c r="L13" s="7" t="n">
        <f aca="false">J13/(J13+K13)</f>
        <v>0.162002827493082</v>
      </c>
    </row>
    <row r="14" customFormat="false" ht="15" hidden="false" customHeight="false" outlineLevel="0" collapsed="false">
      <c r="A14" s="0" t="s">
        <v>8</v>
      </c>
      <c r="B14" s="0" t="s">
        <v>44</v>
      </c>
      <c r="C14" s="0" t="s">
        <v>30</v>
      </c>
      <c r="D14" s="3"/>
      <c r="E14" s="5"/>
      <c r="F14" s="5" t="n">
        <v>0.178689852552716</v>
      </c>
      <c r="G14" s="5" t="n">
        <v>0.0452511582765721</v>
      </c>
      <c r="H14" s="5" t="n">
        <v>0.115836733490744</v>
      </c>
      <c r="I14" s="5" t="n">
        <v>0.265409685348455</v>
      </c>
      <c r="J14" s="6" t="n">
        <f aca="false">F14*(F14*(1-F14)/G14^2-1)</f>
        <v>12.6283148588504</v>
      </c>
      <c r="K14" s="6" t="n">
        <f aca="false">(1-F14)*(F14*(1-F14)/G14^2-1)</f>
        <v>58.0433806988191</v>
      </c>
      <c r="L14" s="7" t="n">
        <f aca="false">J14/(J14+K14)</f>
        <v>0.178689852552716</v>
      </c>
    </row>
    <row r="15" customFormat="false" ht="15" hidden="false" customHeight="false" outlineLevel="0" collapsed="false">
      <c r="A15" s="0" t="s">
        <v>9</v>
      </c>
      <c r="B15" s="0" t="s">
        <v>29</v>
      </c>
      <c r="C15" s="0" t="s">
        <v>30</v>
      </c>
      <c r="D15" s="3"/>
      <c r="E15" s="5"/>
      <c r="F15" s="5" t="n">
        <v>0.229297560524246</v>
      </c>
      <c r="G15" s="5" t="n">
        <v>0.0540214833892726</v>
      </c>
      <c r="H15" s="5" t="n">
        <v>0.152498115879786</v>
      </c>
      <c r="I15" s="5" t="n">
        <v>0.329726394433238</v>
      </c>
      <c r="J15" s="6" t="n">
        <f aca="false">F15*(F15*(1-F15)/G15^2-1)</f>
        <v>13.6559168860324</v>
      </c>
      <c r="K15" s="6" t="n">
        <f aca="false">(1-F15)*(F15*(1-F15)/G15^2-1)</f>
        <v>45.8995221461609</v>
      </c>
      <c r="L15" s="7" t="n">
        <f aca="false">J15/(J15+K15)</f>
        <v>0.229297560524246</v>
      </c>
    </row>
    <row r="16" customFormat="false" ht="15" hidden="false" customHeight="false" outlineLevel="0" collapsed="false">
      <c r="A16" s="0" t="s">
        <v>9</v>
      </c>
      <c r="B16" s="0" t="s">
        <v>31</v>
      </c>
      <c r="C16" s="0" t="s">
        <v>30</v>
      </c>
      <c r="D16" s="3"/>
      <c r="E16" s="5"/>
      <c r="F16" s="5" t="n">
        <v>0.236047991462622</v>
      </c>
      <c r="G16" s="5" t="n">
        <v>0.0477839668259235</v>
      </c>
      <c r="H16" s="5" t="n">
        <v>0.166537991319667</v>
      </c>
      <c r="I16" s="5" t="n">
        <v>0.323315829477446</v>
      </c>
      <c r="J16" s="6" t="n">
        <f aca="false">F16*(F16*(1-F16)/G16^2-1)</f>
        <v>18.4063723191303</v>
      </c>
      <c r="K16" s="6" t="n">
        <f aca="false">(1-F16)*(F16*(1-F16)/G16^2-1)</f>
        <v>59.5708737700192</v>
      </c>
      <c r="L16" s="7" t="n">
        <f aca="false">J16/(J16+K16)</f>
        <v>0.236047991462622</v>
      </c>
    </row>
    <row r="17" customFormat="false" ht="15" hidden="false" customHeight="false" outlineLevel="0" collapsed="false">
      <c r="A17" s="0" t="s">
        <v>9</v>
      </c>
      <c r="B17" s="0" t="s">
        <v>32</v>
      </c>
      <c r="C17" s="0" t="s">
        <v>30</v>
      </c>
      <c r="D17" s="3"/>
      <c r="E17" s="5"/>
      <c r="F17" s="5" t="n">
        <v>0.242934510398897</v>
      </c>
      <c r="G17" s="5" t="n">
        <v>0.041439726069794</v>
      </c>
      <c r="H17" s="5" t="n">
        <v>0.18133860379633</v>
      </c>
      <c r="I17" s="5" t="n">
        <v>0.317342599401418</v>
      </c>
      <c r="J17" s="6" t="n">
        <f aca="false">F17*(F17*(1-F17)/G17^2-1)</f>
        <v>25.7753180277893</v>
      </c>
      <c r="K17" s="6" t="n">
        <f aca="false">(1-F17)*(F17*(1-F17)/G17^2-1)</f>
        <v>80.3245439698591</v>
      </c>
      <c r="L17" s="7" t="n">
        <f aca="false">J17/(J17+K17)</f>
        <v>0.242934510398897</v>
      </c>
    </row>
    <row r="18" customFormat="false" ht="15" hidden="false" customHeight="false" outlineLevel="0" collapsed="false">
      <c r="A18" s="0" t="s">
        <v>9</v>
      </c>
      <c r="B18" s="0" t="s">
        <v>33</v>
      </c>
      <c r="C18" s="0" t="s">
        <v>34</v>
      </c>
      <c r="D18" s="3" t="n">
        <v>198</v>
      </c>
      <c r="E18" s="5" t="n">
        <v>0.30001284301554</v>
      </c>
      <c r="F18" s="5" t="n">
        <v>0.249956203184227</v>
      </c>
      <c r="G18" s="5" t="n">
        <v>0.0351258029013392</v>
      </c>
      <c r="H18" s="5" t="n">
        <v>0.196699408408549</v>
      </c>
      <c r="I18" s="5" t="n">
        <v>0.312031370966876</v>
      </c>
      <c r="J18" s="6" t="n">
        <f aca="false">F18*(F18*(1-F18)/G18^2-1)</f>
        <v>37.730654335163</v>
      </c>
      <c r="K18" s="6" t="n">
        <f aca="false">(1-F18)*(F18*(1-F18)/G18^2-1)</f>
        <v>113.218407358474</v>
      </c>
      <c r="L18" s="7" t="n">
        <f aca="false">J18/(J18+K18)</f>
        <v>0.249956203184227</v>
      </c>
    </row>
    <row r="19" customFormat="false" ht="15" hidden="false" customHeight="false" outlineLevel="0" collapsed="false">
      <c r="A19" s="0" t="s">
        <v>9</v>
      </c>
      <c r="B19" s="0" t="s">
        <v>35</v>
      </c>
      <c r="C19" s="0" t="s">
        <v>34</v>
      </c>
      <c r="D19" s="3" t="n">
        <v>155</v>
      </c>
      <c r="E19" s="5" t="n">
        <v>0.257123422265891</v>
      </c>
      <c r="F19" s="5" t="n">
        <v>0.257111922463462</v>
      </c>
      <c r="G19" s="5" t="n">
        <v>0.0291072377560535</v>
      </c>
      <c r="H19" s="5" t="n">
        <v>0.212200031135675</v>
      </c>
      <c r="I19" s="5" t="n">
        <v>0.307815281890802</v>
      </c>
      <c r="J19" s="6" t="n">
        <f aca="false">F19*(F19*(1-F19)/G19^2-1)</f>
        <v>57.7078871339</v>
      </c>
      <c r="K19" s="6" t="n">
        <f aca="false">(1-F19)*(F19*(1-F19)/G19^2-1)</f>
        <v>166.738675207451</v>
      </c>
      <c r="L19" s="7" t="n">
        <f aca="false">J19/(J19+K19)</f>
        <v>0.257111922463462</v>
      </c>
    </row>
    <row r="20" customFormat="false" ht="15" hidden="false" customHeight="false" outlineLevel="0" collapsed="false">
      <c r="A20" s="0" t="s">
        <v>9</v>
      </c>
      <c r="B20" s="0" t="s">
        <v>36</v>
      </c>
      <c r="C20" s="0" t="s">
        <v>37</v>
      </c>
      <c r="D20" s="3" t="n">
        <v>180</v>
      </c>
      <c r="E20" s="5" t="n">
        <v>0.279577523093118</v>
      </c>
      <c r="F20" s="5" t="n">
        <v>0.264400281476261</v>
      </c>
      <c r="G20" s="5" t="n">
        <v>0.0239193324017374</v>
      </c>
      <c r="H20" s="5" t="n">
        <v>0.226964876822662</v>
      </c>
      <c r="I20" s="5" t="n">
        <v>0.305569535795956</v>
      </c>
      <c r="J20" s="6" t="n">
        <f aca="false">F20*(F20*(1-F20)/G20^2-1)</f>
        <v>89.6164707294169</v>
      </c>
      <c r="K20" s="6" t="n">
        <f aca="false">(1-F20)*(F20*(1-F20)/G20^2-1)</f>
        <v>249.325947293171</v>
      </c>
      <c r="L20" s="7" t="n">
        <f aca="false">J20/(J20+K20)</f>
        <v>0.264400281476261</v>
      </c>
    </row>
    <row r="21" customFormat="false" ht="15" hidden="false" customHeight="false" outlineLevel="0" collapsed="false">
      <c r="A21" s="0" t="s">
        <v>9</v>
      </c>
      <c r="B21" s="0" t="s">
        <v>38</v>
      </c>
      <c r="C21" s="0" t="s">
        <v>34</v>
      </c>
      <c r="D21" s="3" t="n">
        <v>224</v>
      </c>
      <c r="E21" s="5" t="n">
        <v>0.236903467944966</v>
      </c>
      <c r="F21" s="5" t="n">
        <v>0.271819648516902</v>
      </c>
      <c r="G21" s="5" t="n">
        <v>0.020579732550546</v>
      </c>
      <c r="H21" s="5" t="n">
        <v>0.239313794014587</v>
      </c>
      <c r="I21" s="5" t="n">
        <v>0.306959071727805</v>
      </c>
      <c r="J21" s="6" t="n">
        <f aca="false">F21*(F21*(1-F21)/G21^2-1)</f>
        <v>126.762538128888</v>
      </c>
      <c r="K21" s="6" t="n">
        <f aca="false">(1-F21)*(F21*(1-F21)/G21^2-1)</f>
        <v>339.585420234414</v>
      </c>
      <c r="L21" s="7" t="n">
        <f aca="false">J21/(J21+K21)</f>
        <v>0.271819648516902</v>
      </c>
    </row>
    <row r="22" customFormat="false" ht="15" hidden="false" customHeight="false" outlineLevel="0" collapsed="false">
      <c r="A22" s="0" t="s">
        <v>9</v>
      </c>
      <c r="B22" s="0" t="s">
        <v>39</v>
      </c>
      <c r="C22" s="0" t="s">
        <v>34</v>
      </c>
      <c r="D22" s="3" t="n">
        <v>184</v>
      </c>
      <c r="E22" s="5" t="n">
        <v>0.203037569944045</v>
      </c>
      <c r="F22" s="5" t="n">
        <v>0.27936814211875</v>
      </c>
      <c r="G22" s="5" t="n">
        <v>0.0204111626285222</v>
      </c>
      <c r="H22" s="5" t="n">
        <v>0.24705564443539</v>
      </c>
      <c r="I22" s="5" t="n">
        <v>0.31414356260568</v>
      </c>
      <c r="J22" s="6" t="n">
        <f aca="false">F22*(F22*(1-F22)/G22^2-1)</f>
        <v>134.719998449132</v>
      </c>
      <c r="K22" s="6" t="n">
        <f aca="false">(1-F22)*(F22*(1-F22)/G22^2-1)</f>
        <v>347.511072808331</v>
      </c>
      <c r="L22" s="7" t="n">
        <f aca="false">J22/(J22+K22)</f>
        <v>0.27936814211875</v>
      </c>
    </row>
    <row r="23" customFormat="false" ht="15" hidden="false" customHeight="false" outlineLevel="0" collapsed="false">
      <c r="A23" s="0" t="s">
        <v>9</v>
      </c>
      <c r="B23" s="0" t="s">
        <v>40</v>
      </c>
      <c r="C23" s="0" t="s">
        <v>34</v>
      </c>
      <c r="D23" s="3" t="n">
        <v>175</v>
      </c>
      <c r="E23" s="5" t="n">
        <v>0.276951353210516</v>
      </c>
      <c r="F23" s="5" t="n">
        <v>0.287043627027874</v>
      </c>
      <c r="G23" s="5" t="n">
        <v>0.0238054853981903</v>
      </c>
      <c r="H23" s="5" t="n">
        <v>0.249526801720585</v>
      </c>
      <c r="I23" s="5" t="n">
        <v>0.327737826525076</v>
      </c>
      <c r="J23" s="6" t="n">
        <f aca="false">F23*(F23*(1-F23)/G23^2-1)</f>
        <v>103.371401719119</v>
      </c>
      <c r="K23" s="6" t="n">
        <f aca="false">(1-F23)*(F23*(1-F23)/G23^2-1)</f>
        <v>256.752955645836</v>
      </c>
      <c r="L23" s="7" t="n">
        <f aca="false">J23/(J23+K23)</f>
        <v>0.287043627027874</v>
      </c>
    </row>
    <row r="24" customFormat="false" ht="15" hidden="false" customHeight="false" outlineLevel="0" collapsed="false">
      <c r="A24" s="0" t="s">
        <v>9</v>
      </c>
      <c r="B24" s="0" t="s">
        <v>41</v>
      </c>
      <c r="C24" s="0" t="s">
        <v>34</v>
      </c>
      <c r="D24" s="3" t="n">
        <v>161</v>
      </c>
      <c r="E24" s="5" t="n">
        <v>0.341815585851142</v>
      </c>
      <c r="F24" s="5" t="n">
        <v>0.294843711028117</v>
      </c>
      <c r="G24" s="5" t="n">
        <v>0.0298164103674248</v>
      </c>
      <c r="H24" s="5" t="n">
        <v>0.248265816561945</v>
      </c>
      <c r="I24" s="5" t="n">
        <v>0.346136521093782</v>
      </c>
      <c r="J24" s="6" t="n">
        <f aca="false">F24*(F24*(1-F24)/G24^2-1)</f>
        <v>68.6589883836608</v>
      </c>
      <c r="K24" s="6" t="n">
        <f aca="false">(1-F24)*(F24*(1-F24)/G24^2-1)</f>
        <v>164.206715769389</v>
      </c>
      <c r="L24" s="7" t="n">
        <f aca="false">J24/(J24+K24)</f>
        <v>0.294843711028117</v>
      </c>
    </row>
    <row r="25" customFormat="false" ht="15" hidden="false" customHeight="false" outlineLevel="0" collapsed="false">
      <c r="A25" s="0" t="s">
        <v>9</v>
      </c>
      <c r="B25" s="0" t="s">
        <v>42</v>
      </c>
      <c r="C25" s="0" t="s">
        <v>34</v>
      </c>
      <c r="D25" s="3" t="n">
        <v>142</v>
      </c>
      <c r="E25" s="5" t="n">
        <v>0.346122986647506</v>
      </c>
      <c r="F25" s="5" t="n">
        <v>0.30276574267699</v>
      </c>
      <c r="G25" s="5" t="n">
        <v>0.0373977026033449</v>
      </c>
      <c r="H25" s="5" t="n">
        <v>0.24497658858265</v>
      </c>
      <c r="I25" s="5" t="n">
        <v>0.36755087737894</v>
      </c>
      <c r="J25" s="6" t="n">
        <f aca="false">F25*(F25*(1-F25)/G25^2-1)</f>
        <v>45.3957756064795</v>
      </c>
      <c r="K25" s="6" t="n">
        <f aca="false">(1-F25)*(F25*(1-F25)/G25^2-1)</f>
        <v>104.541186234381</v>
      </c>
      <c r="L25" s="7" t="n">
        <f aca="false">J25/(J25+K25)</f>
        <v>0.30276574267699</v>
      </c>
    </row>
    <row r="26" customFormat="false" ht="15" hidden="false" customHeight="false" outlineLevel="0" collapsed="false">
      <c r="A26" s="0" t="s">
        <v>9</v>
      </c>
      <c r="B26" s="0" t="s">
        <v>43</v>
      </c>
      <c r="C26" s="0" t="s">
        <v>30</v>
      </c>
      <c r="D26" s="3"/>
      <c r="E26" s="5"/>
      <c r="F26" s="5" t="n">
        <v>0.310806810008055</v>
      </c>
      <c r="G26" s="5" t="n">
        <v>0.045935302877235</v>
      </c>
      <c r="H26" s="5" t="n">
        <v>0.240651420742066</v>
      </c>
      <c r="I26" s="5" t="n">
        <v>0.390886173909594</v>
      </c>
      <c r="J26" s="6" t="n">
        <f aca="false">F26*(F26*(1-F26)/G26^2-1)</f>
        <v>31.2413361369376</v>
      </c>
      <c r="K26" s="6" t="n">
        <f aca="false">(1-F26)*(F26*(1-F26)/G26^2-1)</f>
        <v>69.2755609546284</v>
      </c>
      <c r="L26" s="7" t="n">
        <f aca="false">J26/(J26+K26)</f>
        <v>0.310806810008055</v>
      </c>
    </row>
    <row r="27" customFormat="false" ht="15" hidden="false" customHeight="false" outlineLevel="0" collapsed="false">
      <c r="A27" s="0" t="s">
        <v>9</v>
      </c>
      <c r="B27" s="0" t="s">
        <v>44</v>
      </c>
      <c r="C27" s="0" t="s">
        <v>30</v>
      </c>
      <c r="D27" s="3"/>
      <c r="E27" s="5"/>
      <c r="F27" s="5" t="n">
        <v>0.318963740251017</v>
      </c>
      <c r="G27" s="5" t="n">
        <v>0.0551135179240868</v>
      </c>
      <c r="H27" s="5" t="n">
        <v>0.235790238856832</v>
      </c>
      <c r="I27" s="5" t="n">
        <v>0.415523713701017</v>
      </c>
      <c r="J27" s="6" t="n">
        <f aca="false">F27*(F27*(1-F27)/G27^2-1)</f>
        <v>22.4916305186791</v>
      </c>
      <c r="K27" s="6" t="n">
        <f aca="false">(1-F27)*(F27*(1-F27)/G27^2-1)</f>
        <v>48.0230634116676</v>
      </c>
      <c r="L27" s="7" t="n">
        <f aca="false">J27/(J27+K27)</f>
        <v>0.318963740251017</v>
      </c>
    </row>
    <row r="28" customFormat="false" ht="15" hidden="false" customHeight="false" outlineLevel="0" collapsed="false">
      <c r="A28" s="0" t="s">
        <v>10</v>
      </c>
      <c r="B28" s="0" t="s">
        <v>29</v>
      </c>
      <c r="C28" s="0" t="s">
        <v>30</v>
      </c>
      <c r="D28" s="3"/>
      <c r="E28" s="5"/>
      <c r="F28" s="5" t="n">
        <v>0.326982788889513</v>
      </c>
      <c r="G28" s="5" t="n">
        <v>0.0414753612990825</v>
      </c>
      <c r="H28" s="5" t="n">
        <v>0.2627170210416</v>
      </c>
      <c r="I28" s="5" t="n">
        <v>0.398472817440332</v>
      </c>
      <c r="J28" s="6" t="n">
        <f aca="false">F28*(F28*(1-F28)/G28^2-1)</f>
        <v>41.5037624741498</v>
      </c>
      <c r="K28" s="6" t="n">
        <f aca="false">(1-F28)*(F28*(1-F28)/G28^2-1)</f>
        <v>85.4257392745609</v>
      </c>
      <c r="L28" s="7" t="n">
        <f aca="false">J28/(J28+K28)</f>
        <v>0.326982788889513</v>
      </c>
    </row>
    <row r="29" customFormat="false" ht="15" hidden="false" customHeight="false" outlineLevel="0" collapsed="false">
      <c r="A29" s="0" t="s">
        <v>10</v>
      </c>
      <c r="B29" s="0" t="s">
        <v>31</v>
      </c>
      <c r="C29" s="0" t="s">
        <v>30</v>
      </c>
      <c r="D29" s="3"/>
      <c r="E29" s="5"/>
      <c r="F29" s="5" t="n">
        <v>0.343343895344869</v>
      </c>
      <c r="G29" s="5" t="n">
        <v>0.0368297975756116</v>
      </c>
      <c r="H29" s="5" t="n">
        <v>0.285539648564299</v>
      </c>
      <c r="I29" s="5" t="n">
        <v>0.406197042203155</v>
      </c>
      <c r="J29" s="6" t="n">
        <f aca="false">F29*(F29*(1-F29)/G29^2-1)</f>
        <v>56.7253564671069</v>
      </c>
      <c r="K29" s="6" t="n">
        <f aca="false">(1-F29)*(F29*(1-F29)/G29^2-1)</f>
        <v>108.48904587469</v>
      </c>
      <c r="L29" s="7" t="n">
        <f aca="false">J29/(J29+K29)</f>
        <v>0.343343895344869</v>
      </c>
    </row>
    <row r="30" customFormat="false" ht="15" hidden="false" customHeight="false" outlineLevel="0" collapsed="false">
      <c r="A30" s="0" t="s">
        <v>10</v>
      </c>
      <c r="B30" s="0" t="s">
        <v>32</v>
      </c>
      <c r="C30" s="0" t="s">
        <v>30</v>
      </c>
      <c r="D30" s="3"/>
      <c r="E30" s="5"/>
      <c r="F30" s="5" t="n">
        <v>0.360085649880129</v>
      </c>
      <c r="G30" s="5" t="n">
        <v>0.0320214426446608</v>
      </c>
      <c r="H30" s="5" t="n">
        <v>0.309257263483024</v>
      </c>
      <c r="I30" s="5" t="n">
        <v>0.414257893596871</v>
      </c>
      <c r="J30" s="6" t="n">
        <f aca="false">F30*(F30*(1-F30)/G30^2-1)</f>
        <v>80.5591346953872</v>
      </c>
      <c r="K30" s="6" t="n">
        <f aca="false">(1-F30)*(F30*(1-F30)/G30^2-1)</f>
        <v>143.163012305486</v>
      </c>
      <c r="L30" s="7" t="n">
        <f aca="false">J30/(J30+K30)</f>
        <v>0.360085649880129</v>
      </c>
    </row>
    <row r="31" customFormat="false" ht="15" hidden="false" customHeight="false" outlineLevel="0" collapsed="false">
      <c r="A31" s="0" t="s">
        <v>10</v>
      </c>
      <c r="B31" s="0" t="s">
        <v>33</v>
      </c>
      <c r="C31" s="0" t="s">
        <v>34</v>
      </c>
      <c r="D31" s="3" t="n">
        <v>166</v>
      </c>
      <c r="E31" s="5" t="n">
        <v>0.34040965254167</v>
      </c>
      <c r="F31" s="5" t="n">
        <v>0.377174850408563</v>
      </c>
      <c r="G31" s="5" t="n">
        <v>0.0271951982351063</v>
      </c>
      <c r="H31" s="5" t="n">
        <v>0.333589858385231</v>
      </c>
      <c r="I31" s="5" t="n">
        <v>0.422841174898265</v>
      </c>
      <c r="J31" s="6" t="n">
        <f aca="false">F31*(F31*(1-F31)/G31^2-1)</f>
        <v>119.425671597214</v>
      </c>
      <c r="K31" s="6" t="n">
        <f aca="false">(1-F31)*(F31*(1-F31)/G31^2-1)</f>
        <v>197.206446021048</v>
      </c>
      <c r="L31" s="7" t="n">
        <f aca="false">J31/(J31+K31)</f>
        <v>0.377174850408563</v>
      </c>
    </row>
    <row r="32" customFormat="false" ht="15" hidden="false" customHeight="false" outlineLevel="0" collapsed="false">
      <c r="A32" s="0" t="s">
        <v>10</v>
      </c>
      <c r="B32" s="0" t="s">
        <v>35</v>
      </c>
      <c r="C32" s="0" t="s">
        <v>34</v>
      </c>
      <c r="D32" s="3" t="n">
        <v>148</v>
      </c>
      <c r="E32" s="5" t="n">
        <v>0.4173646100971</v>
      </c>
      <c r="F32" s="5" t="n">
        <v>0.39457499555674</v>
      </c>
      <c r="G32" s="5" t="n">
        <v>0.0226054963868447</v>
      </c>
      <c r="H32" s="5" t="n">
        <v>0.358061869853193</v>
      </c>
      <c r="I32" s="5" t="n">
        <v>0.432304051503179</v>
      </c>
      <c r="J32" s="6" t="n">
        <f aca="false">F32*(F32*(1-F32)/G32^2-1)</f>
        <v>184.060826844773</v>
      </c>
      <c r="K32" s="6" t="n">
        <f aca="false">(1-F32)*(F32*(1-F32)/G32^2-1)</f>
        <v>282.417862675494</v>
      </c>
      <c r="L32" s="7" t="n">
        <f aca="false">J32/(J32+K32)</f>
        <v>0.39457499555674</v>
      </c>
    </row>
    <row r="33" customFormat="false" ht="15" hidden="false" customHeight="false" outlineLevel="0" collapsed="false">
      <c r="A33" s="0" t="s">
        <v>10</v>
      </c>
      <c r="B33" s="0" t="s">
        <v>36</v>
      </c>
      <c r="C33" s="0" t="s">
        <v>37</v>
      </c>
      <c r="D33" s="3" t="n">
        <v>145</v>
      </c>
      <c r="E33" s="5" t="n">
        <v>0.505896656534954</v>
      </c>
      <c r="F33" s="5" t="n">
        <v>0.412246541505928</v>
      </c>
      <c r="G33" s="5" t="n">
        <v>0.0187216979595149</v>
      </c>
      <c r="H33" s="5" t="n">
        <v>0.381829552493576</v>
      </c>
      <c r="I33" s="5" t="n">
        <v>0.443348781896634</v>
      </c>
      <c r="J33" s="6" t="n">
        <f aca="false">F33*(F33*(1-F33)/G33^2-1)</f>
        <v>284.570630268652</v>
      </c>
      <c r="K33" s="6" t="n">
        <f aca="false">(1-F33)*(F33*(1-F33)/G33^2-1)</f>
        <v>405.721710885069</v>
      </c>
      <c r="L33" s="7" t="n">
        <f aca="false">J33/(J33+K33)</f>
        <v>0.412246541505928</v>
      </c>
    </row>
    <row r="34" customFormat="false" ht="15" hidden="false" customHeight="false" outlineLevel="0" collapsed="false">
      <c r="A34" s="0" t="s">
        <v>10</v>
      </c>
      <c r="B34" s="0" t="s">
        <v>38</v>
      </c>
      <c r="C34" s="0" t="s">
        <v>34</v>
      </c>
      <c r="D34" s="3" t="n">
        <v>143</v>
      </c>
      <c r="E34" s="5" t="n">
        <v>0.492901269784349</v>
      </c>
      <c r="F34" s="5" t="n">
        <v>0.430147219615871</v>
      </c>
      <c r="G34" s="5" t="n">
        <v>0.0163487626497358</v>
      </c>
      <c r="H34" s="5" t="n">
        <v>0.403484588028182</v>
      </c>
      <c r="I34" s="5" t="n">
        <v>0.457221275787573</v>
      </c>
      <c r="J34" s="6" t="n">
        <f aca="false">F34*(F34*(1-F34)/G34^2-1)</f>
        <v>394.05180072648</v>
      </c>
      <c r="K34" s="6" t="n">
        <f aca="false">(1-F34)*(F34*(1-F34)/G34^2-1)</f>
        <v>522.034094419781</v>
      </c>
      <c r="L34" s="7" t="n">
        <f aca="false">J34/(J34+K34)</f>
        <v>0.430147219615871</v>
      </c>
    </row>
    <row r="35" customFormat="false" ht="15" hidden="false" customHeight="false" outlineLevel="0" collapsed="false">
      <c r="A35" s="0" t="s">
        <v>10</v>
      </c>
      <c r="B35" s="0" t="s">
        <v>39</v>
      </c>
      <c r="C35" s="0" t="s">
        <v>34</v>
      </c>
      <c r="D35" s="3" t="n">
        <v>131</v>
      </c>
      <c r="E35" s="5" t="n">
        <v>0.428684990980524</v>
      </c>
      <c r="F35" s="5" t="n">
        <v>0.448232410518356</v>
      </c>
      <c r="G35" s="5" t="n">
        <v>0.0163858778191088</v>
      </c>
      <c r="H35" s="5" t="n">
        <v>0.421455219041052</v>
      </c>
      <c r="I35" s="5" t="n">
        <v>0.475313168843748</v>
      </c>
      <c r="J35" s="6" t="n">
        <f aca="false">F35*(F35*(1-F35)/G35^2-1)</f>
        <v>412.431224015474</v>
      </c>
      <c r="K35" s="6" t="n">
        <f aca="false">(1-F35)*(F35*(1-F35)/G35^2-1)</f>
        <v>507.696848692432</v>
      </c>
      <c r="L35" s="7" t="n">
        <f aca="false">J35/(J35+K35)</f>
        <v>0.448232410518356</v>
      </c>
    </row>
    <row r="36" customFormat="false" ht="15" hidden="false" customHeight="false" outlineLevel="0" collapsed="false">
      <c r="A36" s="0" t="s">
        <v>10</v>
      </c>
      <c r="B36" s="0" t="s">
        <v>40</v>
      </c>
      <c r="C36" s="0" t="s">
        <v>34</v>
      </c>
      <c r="D36" s="3" t="n">
        <v>127</v>
      </c>
      <c r="E36" s="5" t="n">
        <v>0.45703668020095</v>
      </c>
      <c r="F36" s="5" t="n">
        <v>0.466455568424233</v>
      </c>
      <c r="G36" s="5" t="n">
        <v>0.0189430027736349</v>
      </c>
      <c r="H36" s="5" t="n">
        <v>0.435464967389176</v>
      </c>
      <c r="I36" s="5" t="n">
        <v>0.497707249057475</v>
      </c>
      <c r="J36" s="6" t="n">
        <f aca="false">F36*(F36*(1-F36)/G36^2-1)</f>
        <v>323.047865067712</v>
      </c>
      <c r="K36" s="6" t="n">
        <f aca="false">(1-F36)*(F36*(1-F36)/G36^2-1)</f>
        <v>369.510841346755</v>
      </c>
      <c r="L36" s="7" t="n">
        <f aca="false">J36/(J36+K36)</f>
        <v>0.466455568424233</v>
      </c>
    </row>
    <row r="37" customFormat="false" ht="15" hidden="false" customHeight="false" outlineLevel="0" collapsed="false">
      <c r="A37" s="0" t="s">
        <v>10</v>
      </c>
      <c r="B37" s="0" t="s">
        <v>41</v>
      </c>
      <c r="C37" s="0" t="s">
        <v>34</v>
      </c>
      <c r="D37" s="3" t="n">
        <v>125</v>
      </c>
      <c r="E37" s="5" t="n">
        <v>0.458074279588877</v>
      </c>
      <c r="F37" s="5" t="n">
        <v>0.484768687587884</v>
      </c>
      <c r="G37" s="5" t="n">
        <v>0.0232433176343119</v>
      </c>
      <c r="H37" s="5" t="n">
        <v>0.44669652222393</v>
      </c>
      <c r="I37" s="5" t="n">
        <v>0.523018462773483</v>
      </c>
      <c r="J37" s="6" t="n">
        <f aca="false">F37*(F37*(1-F37)/G37^2-1)</f>
        <v>223.632403584424</v>
      </c>
      <c r="K37" s="6" t="n">
        <f aca="false">(1-F37)*(F37*(1-F37)/G37^2-1)</f>
        <v>237.685353338318</v>
      </c>
      <c r="L37" s="7" t="n">
        <f aca="false">J37/(J37+K37)</f>
        <v>0.484768687587884</v>
      </c>
    </row>
    <row r="38" customFormat="false" ht="15" hidden="false" customHeight="false" outlineLevel="0" collapsed="false">
      <c r="A38" s="0" t="s">
        <v>10</v>
      </c>
      <c r="B38" s="0" t="s">
        <v>42</v>
      </c>
      <c r="C38" s="0" t="s">
        <v>34</v>
      </c>
      <c r="D38" s="3" t="n">
        <v>126</v>
      </c>
      <c r="E38" s="5" t="n">
        <v>0.509869170230534</v>
      </c>
      <c r="F38" s="5" t="n">
        <v>0.503122801313745</v>
      </c>
      <c r="G38" s="5" t="n">
        <v>0.0284918073244203</v>
      </c>
      <c r="H38" s="5" t="n">
        <v>0.45636328815401</v>
      </c>
      <c r="I38" s="5" t="n">
        <v>0.549827753238528</v>
      </c>
      <c r="J38" s="6" t="n">
        <f aca="false">F38*(F38*(1-F38)/G38^2-1)</f>
        <v>154.43456476006</v>
      </c>
      <c r="K38" s="6" t="n">
        <f aca="false">(1-F38)*(F38*(1-F38)/G38^2-1)</f>
        <v>152.517464360471</v>
      </c>
      <c r="L38" s="7" t="n">
        <f aca="false">J38/(J38+K38)</f>
        <v>0.503122801313745</v>
      </c>
    </row>
    <row r="39" customFormat="false" ht="15" hidden="false" customHeight="false" outlineLevel="0" collapsed="false">
      <c r="A39" s="0" t="s">
        <v>10</v>
      </c>
      <c r="B39" s="0" t="s">
        <v>43</v>
      </c>
      <c r="C39" s="0" t="s">
        <v>30</v>
      </c>
      <c r="D39" s="3"/>
      <c r="E39" s="5"/>
      <c r="F39" s="5" t="n">
        <v>0.521468502656956</v>
      </c>
      <c r="G39" s="5" t="n">
        <v>0.034198491798084</v>
      </c>
      <c r="H39" s="5" t="n">
        <v>0.465177750482268</v>
      </c>
      <c r="I39" s="5" t="n">
        <v>0.57721927063887</v>
      </c>
      <c r="J39" s="6" t="n">
        <f aca="false">F39*(F39*(1-F39)/G39^2-1)</f>
        <v>110.742048823109</v>
      </c>
      <c r="K39" s="6" t="n">
        <f aca="false">(1-F39)*(F39*(1-F39)/G39^2-1)</f>
        <v>101.623699556443</v>
      </c>
      <c r="L39" s="7" t="n">
        <f aca="false">J39/(J39+K39)</f>
        <v>0.521468502656956</v>
      </c>
    </row>
    <row r="40" customFormat="false" ht="15" hidden="false" customHeight="false" outlineLevel="0" collapsed="false">
      <c r="A40" s="0" t="s">
        <v>10</v>
      </c>
      <c r="B40" s="0" t="s">
        <v>44</v>
      </c>
      <c r="C40" s="0" t="s">
        <v>30</v>
      </c>
      <c r="D40" s="3"/>
      <c r="E40" s="5"/>
      <c r="F40" s="5" t="n">
        <v>0.539756475135138</v>
      </c>
      <c r="G40" s="5" t="n">
        <v>0.0400847643135041</v>
      </c>
      <c r="H40" s="5" t="n">
        <v>0.473506435973929</v>
      </c>
      <c r="I40" s="5" t="n">
        <v>0.604630852545901</v>
      </c>
      <c r="J40" s="6" t="n">
        <f aca="false">F40*(F40*(1-F40)/G40^2-1)</f>
        <v>82.9099359542947</v>
      </c>
      <c r="K40" s="6" t="n">
        <f aca="false">(1-F40)*(F40*(1-F40)/G40^2-1)</f>
        <v>70.6962545662296</v>
      </c>
      <c r="L40" s="7" t="n">
        <f aca="false">J40/(J40+K40)</f>
        <v>0.539756475135138</v>
      </c>
    </row>
    <row r="41" customFormat="false" ht="15" hidden="false" customHeight="false" outlineLevel="0" collapsed="false">
      <c r="A41" s="0" t="s">
        <v>11</v>
      </c>
      <c r="B41" s="0" t="s">
        <v>29</v>
      </c>
      <c r="C41" s="0" t="s">
        <v>30</v>
      </c>
      <c r="D41" s="3"/>
      <c r="E41" s="5"/>
      <c r="F41" s="5" t="n">
        <v>0.623795397628428</v>
      </c>
      <c r="G41" s="5" t="n">
        <v>0.157912536112229</v>
      </c>
      <c r="H41" s="5" t="n">
        <v>0.354062170501574</v>
      </c>
      <c r="I41" s="5" t="n">
        <v>0.833773336999431</v>
      </c>
      <c r="J41" s="6" t="n">
        <f aca="false">F41*(F41*(1-F41)/G41^2-1)</f>
        <v>5.24670632392295</v>
      </c>
      <c r="K41" s="6" t="n">
        <f aca="false">(1-F41)*(F41*(1-F41)/G41^2-1)</f>
        <v>3.16423473763361</v>
      </c>
      <c r="L41" s="7" t="n">
        <f aca="false">J41/(J41+K41)</f>
        <v>0.623795397628428</v>
      </c>
    </row>
    <row r="42" customFormat="false" ht="15" hidden="false" customHeight="false" outlineLevel="0" collapsed="false">
      <c r="A42" s="0" t="s">
        <v>11</v>
      </c>
      <c r="B42" s="0" t="s">
        <v>31</v>
      </c>
      <c r="C42" s="0" t="s">
        <v>30</v>
      </c>
      <c r="D42" s="3"/>
      <c r="E42" s="5"/>
      <c r="F42" s="5" t="n">
        <v>0.644831650933101</v>
      </c>
      <c r="G42" s="5" t="n">
        <v>0.131480166458327</v>
      </c>
      <c r="H42" s="5" t="n">
        <v>0.413872367147174</v>
      </c>
      <c r="I42" s="5" t="n">
        <v>0.823577313875773</v>
      </c>
      <c r="J42" s="6" t="n">
        <f aca="false">F42*(F42*(1-F42)/G42^2-1)</f>
        <v>7.89809069203885</v>
      </c>
      <c r="K42" s="6" t="n">
        <f aca="false">(1-F42)*(F42*(1-F42)/G42^2-1)</f>
        <v>4.3502080392811</v>
      </c>
      <c r="L42" s="7" t="n">
        <f aca="false">J42/(J42+K42)</f>
        <v>0.644831650933101</v>
      </c>
    </row>
    <row r="43" customFormat="false" ht="15" hidden="false" customHeight="false" outlineLevel="0" collapsed="false">
      <c r="A43" s="0" t="s">
        <v>11</v>
      </c>
      <c r="B43" s="0" t="s">
        <v>32</v>
      </c>
      <c r="C43" s="0" t="s">
        <v>30</v>
      </c>
      <c r="D43" s="3"/>
      <c r="E43" s="5"/>
      <c r="F43" s="5" t="n">
        <v>0.665322716830775</v>
      </c>
      <c r="G43" s="5" t="n">
        <v>0.106731577954269</v>
      </c>
      <c r="H43" s="5" t="n">
        <v>0.47467372173193</v>
      </c>
      <c r="I43" s="5" t="n">
        <v>0.813907496930975</v>
      </c>
      <c r="J43" s="6" t="n">
        <f aca="false">F43*(F43*(1-F43)/G43^2-1)</f>
        <v>12.3395192462439</v>
      </c>
      <c r="K43" s="6" t="n">
        <f aca="false">(1-F43)*(F43*(1-F43)/G43^2-1)</f>
        <v>6.20714830934845</v>
      </c>
      <c r="L43" s="7" t="n">
        <f aca="false">J43/(J43+K43)</f>
        <v>0.665322716830775</v>
      </c>
    </row>
    <row r="44" customFormat="false" ht="15" hidden="false" customHeight="false" outlineLevel="0" collapsed="false">
      <c r="A44" s="0" t="s">
        <v>11</v>
      </c>
      <c r="B44" s="0" t="s">
        <v>33</v>
      </c>
      <c r="C44" s="0" t="s">
        <v>34</v>
      </c>
      <c r="D44" s="3" t="n">
        <v>110</v>
      </c>
      <c r="E44" s="5" t="n">
        <v>0.752358370302381</v>
      </c>
      <c r="F44" s="5" t="n">
        <v>0.68520869891408</v>
      </c>
      <c r="G44" s="5" t="n">
        <v>0.084461150420286</v>
      </c>
      <c r="H44" s="5" t="n">
        <v>0.533369816067389</v>
      </c>
      <c r="I44" s="5" t="n">
        <v>0.805643804773464</v>
      </c>
      <c r="J44" s="6" t="n">
        <f aca="false">F44*(F44*(1-F44)/G44^2-1)</f>
        <v>20.0331082766631</v>
      </c>
      <c r="K44" s="6" t="n">
        <f aca="false">(1-F44)*(F44*(1-F44)/G44^2-1)</f>
        <v>9.20339778114325</v>
      </c>
      <c r="L44" s="7" t="n">
        <f aca="false">J44/(J44+K44)</f>
        <v>0.68520869891408</v>
      </c>
    </row>
    <row r="45" customFormat="false" ht="15" hidden="false" customHeight="false" outlineLevel="0" collapsed="false">
      <c r="A45" s="0" t="s">
        <v>11</v>
      </c>
      <c r="B45" s="0" t="s">
        <v>35</v>
      </c>
      <c r="C45" s="0" t="s">
        <v>34</v>
      </c>
      <c r="D45" s="3" t="n">
        <v>113</v>
      </c>
      <c r="E45" s="5" t="n">
        <v>0.529616470359194</v>
      </c>
      <c r="F45" s="5" t="n">
        <v>0.704437997250784</v>
      </c>
      <c r="G45" s="5" t="n">
        <v>0.0659367289394797</v>
      </c>
      <c r="H45" s="5" t="n">
        <v>0.586026881753676</v>
      </c>
      <c r="I45" s="5" t="n">
        <v>0.800509013581289</v>
      </c>
      <c r="J45" s="6" t="n">
        <f aca="false">F45*(F45*(1-F45)/G45^2-1)</f>
        <v>33.0304561134024</v>
      </c>
      <c r="K45" s="6" t="n">
        <f aca="false">(1-F45)*(F45*(1-F45)/G45^2-1)</f>
        <v>13.8586331212934</v>
      </c>
      <c r="L45" s="7" t="n">
        <f aca="false">J45/(J45+K45)</f>
        <v>0.704437997250784</v>
      </c>
    </row>
    <row r="46" customFormat="false" ht="15" hidden="false" customHeight="false" outlineLevel="0" collapsed="false">
      <c r="A46" s="0" t="s">
        <v>11</v>
      </c>
      <c r="B46" s="0" t="s">
        <v>36</v>
      </c>
      <c r="C46" s="0" t="s">
        <v>37</v>
      </c>
      <c r="D46" s="3" t="n">
        <v>58</v>
      </c>
      <c r="E46" s="5" t="n">
        <v>0.914794499962432</v>
      </c>
      <c r="F46" s="5" t="n">
        <v>0.722967567940336</v>
      </c>
      <c r="G46" s="5" t="n">
        <v>0.0532365923397357</v>
      </c>
      <c r="H46" s="5" t="n">
        <v>0.627611317489734</v>
      </c>
      <c r="I46" s="5" t="n">
        <v>0.801624192781501</v>
      </c>
      <c r="J46" s="6" t="n">
        <f aca="false">F46*(F46*(1-F46)/G46^2-1)</f>
        <v>50.3684259636929</v>
      </c>
      <c r="K46" s="6" t="n">
        <f aca="false">(1-F46)*(F46*(1-F46)/G46^2-1)</f>
        <v>19.3005719239823</v>
      </c>
      <c r="L46" s="7" t="n">
        <f aca="false">J46/(J46+K46)</f>
        <v>0.722967567940336</v>
      </c>
    </row>
    <row r="47" customFormat="false" ht="15" hidden="false" customHeight="false" outlineLevel="0" collapsed="false">
      <c r="A47" s="0" t="s">
        <v>11</v>
      </c>
      <c r="B47" s="0" t="s">
        <v>38</v>
      </c>
      <c r="C47" s="0" t="s">
        <v>34</v>
      </c>
      <c r="D47" s="3" t="n">
        <v>108</v>
      </c>
      <c r="E47" s="5" t="n">
        <v>0.892236158324542</v>
      </c>
      <c r="F47" s="5" t="n">
        <v>0.740762970648566</v>
      </c>
      <c r="G47" s="5" t="n">
        <v>0.048733735768991</v>
      </c>
      <c r="H47" s="5" t="n">
        <v>0.65305013557099</v>
      </c>
      <c r="I47" s="5" t="n">
        <v>0.812662204010576</v>
      </c>
      <c r="J47" s="6" t="n">
        <f aca="false">F47*(F47*(1-F47)/G47^2-1)</f>
        <v>59.1550076506381</v>
      </c>
      <c r="K47" s="6" t="n">
        <f aca="false">(1-F47)*(F47*(1-F47)/G47^2-1)</f>
        <v>20.7018561432495</v>
      </c>
      <c r="L47" s="7" t="n">
        <f aca="false">J47/(J47+K47)</f>
        <v>0.740762970648566</v>
      </c>
    </row>
    <row r="48" customFormat="false" ht="15" hidden="false" customHeight="false" outlineLevel="0" collapsed="false">
      <c r="A48" s="0" t="s">
        <v>11</v>
      </c>
      <c r="B48" s="0" t="s">
        <v>39</v>
      </c>
      <c r="C48" s="0" t="s">
        <v>34</v>
      </c>
      <c r="D48" s="3" t="n">
        <v>49</v>
      </c>
      <c r="E48" s="5" t="n">
        <v>0.770505050505051</v>
      </c>
      <c r="F48" s="5" t="n">
        <v>0.757798222537111</v>
      </c>
      <c r="G48" s="5" t="n">
        <v>0.0524128318813672</v>
      </c>
      <c r="H48" s="5" t="n">
        <v>0.661702344005489</v>
      </c>
      <c r="I48" s="5" t="n">
        <v>0.833467231580183</v>
      </c>
      <c r="J48" s="6" t="n">
        <f aca="false">F48*(F48*(1-F48)/G48^2-1)</f>
        <v>49.8723547734835</v>
      </c>
      <c r="K48" s="6" t="n">
        <f aca="false">(1-F48)*(F48*(1-F48)/G48^2-1)</f>
        <v>15.9398275334513</v>
      </c>
      <c r="L48" s="7" t="n">
        <f aca="false">J48/(J48+K48)</f>
        <v>0.757798222537111</v>
      </c>
    </row>
    <row r="49" customFormat="false" ht="15" hidden="false" customHeight="false" outlineLevel="0" collapsed="false">
      <c r="A49" s="0" t="s">
        <v>11</v>
      </c>
      <c r="B49" s="0" t="s">
        <v>40</v>
      </c>
      <c r="C49" s="0" t="s">
        <v>34</v>
      </c>
      <c r="D49" s="3" t="n">
        <v>65</v>
      </c>
      <c r="E49" s="5" t="n">
        <v>0.77352718144497</v>
      </c>
      <c r="F49" s="5" t="n">
        <v>0.774055482796952</v>
      </c>
      <c r="G49" s="5" t="n">
        <v>0.0611093060190667</v>
      </c>
      <c r="H49" s="5" t="n">
        <v>0.658491066880524</v>
      </c>
      <c r="I49" s="5" t="n">
        <v>0.858893626259794</v>
      </c>
      <c r="J49" s="6" t="n">
        <f aca="false">F49*(F49*(1-F49)/G49^2-1)</f>
        <v>35.4778873162823</v>
      </c>
      <c r="K49" s="6" t="n">
        <f aca="false">(1-F49)*(F49*(1-F49)/G49^2-1)</f>
        <v>10.3558908879459</v>
      </c>
      <c r="L49" s="7" t="n">
        <f aca="false">J49/(J49+K49)</f>
        <v>0.774055482796952</v>
      </c>
    </row>
    <row r="50" customFormat="false" ht="15" hidden="false" customHeight="false" outlineLevel="0" collapsed="false">
      <c r="A50" s="0" t="s">
        <v>11</v>
      </c>
      <c r="B50" s="0" t="s">
        <v>41</v>
      </c>
      <c r="C50" s="0" t="s">
        <v>34</v>
      </c>
      <c r="D50" s="3" t="n">
        <v>52</v>
      </c>
      <c r="E50" s="5" t="n">
        <v>0.781603569886282</v>
      </c>
      <c r="F50" s="5" t="n">
        <v>0.78952459580959</v>
      </c>
      <c r="G50" s="5" t="n">
        <v>0.0716711550786601</v>
      </c>
      <c r="H50" s="5" t="n">
        <v>0.648528441732158</v>
      </c>
      <c r="I50" s="5" t="n">
        <v>0.884069755903675</v>
      </c>
      <c r="J50" s="6" t="n">
        <f aca="false">F50*(F50*(1-F50)/G50^2-1)</f>
        <v>24.7518268310718</v>
      </c>
      <c r="K50" s="6" t="n">
        <f aca="false">(1-F50)*(F50*(1-F50)/G50^2-1)</f>
        <v>6.59846543650591</v>
      </c>
      <c r="L50" s="7" t="n">
        <f aca="false">J50/(J50+K50)</f>
        <v>0.78952459580959</v>
      </c>
    </row>
    <row r="51" customFormat="false" ht="15" hidden="false" customHeight="false" outlineLevel="0" collapsed="false">
      <c r="A51" s="0" t="s">
        <v>11</v>
      </c>
      <c r="B51" s="0" t="s">
        <v>42</v>
      </c>
      <c r="C51" s="0" t="s">
        <v>34</v>
      </c>
      <c r="D51" s="3" t="n">
        <v>57</v>
      </c>
      <c r="E51" s="5" t="n">
        <v>0.731094852364777</v>
      </c>
      <c r="F51" s="5" t="n">
        <v>0.804202522846915</v>
      </c>
      <c r="G51" s="5" t="n">
        <v>0.082323990860209</v>
      </c>
      <c r="H51" s="5" t="n">
        <v>0.63476828045966</v>
      </c>
      <c r="I51" s="5" t="n">
        <v>0.906600216771507</v>
      </c>
      <c r="J51" s="6" t="n">
        <f aca="false">F51*(F51*(1-F51)/G51^2-1)</f>
        <v>17.8804541620506</v>
      </c>
      <c r="K51" s="6" t="n">
        <f aca="false">(1-F51)*(F51*(1-F51)/G51^2-1)</f>
        <v>4.35331613097577</v>
      </c>
      <c r="L51" s="7" t="n">
        <f aca="false">J51/(J51+K51)</f>
        <v>0.804202522846915</v>
      </c>
    </row>
    <row r="52" customFormat="false" ht="15" hidden="false" customHeight="false" outlineLevel="0" collapsed="false">
      <c r="A52" s="0" t="s">
        <v>11</v>
      </c>
      <c r="B52" s="0" t="s">
        <v>43</v>
      </c>
      <c r="C52" s="0" t="s">
        <v>30</v>
      </c>
      <c r="D52" s="3"/>
      <c r="E52" s="5"/>
      <c r="F52" s="5" t="n">
        <v>0.818092692369169</v>
      </c>
      <c r="G52" s="5" t="n">
        <v>0.092225897225975</v>
      </c>
      <c r="H52" s="5" t="n">
        <v>0.618698555815146</v>
      </c>
      <c r="I52" s="5" t="n">
        <v>0.925733667745595</v>
      </c>
      <c r="J52" s="6" t="n">
        <f aca="false">F52*(F52*(1-F52)/G52^2-1)</f>
        <v>13.4955243873139</v>
      </c>
      <c r="K52" s="6" t="n">
        <f aca="false">(1-F52)*(F52*(1-F52)/G52^2-1)</f>
        <v>3.00080238982833</v>
      </c>
      <c r="L52" s="7" t="n">
        <f aca="false">J52/(J52+K52)</f>
        <v>0.818092692369169</v>
      </c>
    </row>
    <row r="53" customFormat="false" ht="15" hidden="false" customHeight="false" outlineLevel="0" collapsed="false">
      <c r="A53" s="0" t="s">
        <v>11</v>
      </c>
      <c r="B53" s="0" t="s">
        <v>44</v>
      </c>
      <c r="C53" s="0" t="s">
        <v>30</v>
      </c>
      <c r="D53" s="3"/>
      <c r="E53" s="5"/>
      <c r="F53" s="5" t="n">
        <v>0.83120429767063</v>
      </c>
      <c r="G53" s="5" t="n">
        <v>0.100996544422824</v>
      </c>
      <c r="H53" s="5" t="n">
        <v>0.60109889492214</v>
      </c>
      <c r="I53" s="5" t="n">
        <v>0.941493359514975</v>
      </c>
      <c r="J53" s="6" t="n">
        <f aca="false">F53*(F53*(1-F53)/G53^2-1)</f>
        <v>10.6018934245547</v>
      </c>
      <c r="K53" s="6" t="n">
        <f aca="false">(1-F53)*(F53*(1-F53)/G53^2-1)</f>
        <v>2.15296534393998</v>
      </c>
      <c r="L53" s="7" t="n">
        <f aca="false">J53/(J53+K53)</f>
        <v>0.83120429767063</v>
      </c>
    </row>
    <row r="54" customFormat="false" ht="15" hidden="false" customHeight="false" outlineLevel="0" collapsed="false">
      <c r="A54" s="0" t="s">
        <v>12</v>
      </c>
      <c r="B54" s="0" t="s">
        <v>29</v>
      </c>
      <c r="C54" s="0" t="s">
        <v>30</v>
      </c>
      <c r="D54" s="3"/>
      <c r="E54" s="5"/>
      <c r="F54" s="5" t="n">
        <v>0.7977226850192</v>
      </c>
      <c r="G54" s="5" t="n">
        <v>0.127079431036662</v>
      </c>
      <c r="H54" s="5" t="n">
        <v>0.519142546129712</v>
      </c>
      <c r="I54" s="5" t="n">
        <v>0.935089643695711</v>
      </c>
      <c r="J54" s="6" t="n">
        <f aca="false">F54*(F54*(1-F54)/G54^2-1)</f>
        <v>7.17305215847311</v>
      </c>
      <c r="K54" s="6" t="n">
        <f aca="false">(1-F54)*(F54*(1-F54)/G54^2-1)</f>
        <v>1.81885980940638</v>
      </c>
      <c r="L54" s="7" t="n">
        <f aca="false">J54/(J54+K54)</f>
        <v>0.7977226850192</v>
      </c>
    </row>
    <row r="55" customFormat="false" ht="15" hidden="false" customHeight="false" outlineLevel="0" collapsed="false">
      <c r="A55" s="0" t="s">
        <v>12</v>
      </c>
      <c r="B55" s="0" t="s">
        <v>31</v>
      </c>
      <c r="C55" s="0" t="s">
        <v>30</v>
      </c>
      <c r="D55" s="3"/>
      <c r="E55" s="5"/>
      <c r="F55" s="5" t="n">
        <v>0.809121553995846</v>
      </c>
      <c r="G55" s="5" t="n">
        <v>0.105193293841097</v>
      </c>
      <c r="H55" s="5" t="n">
        <v>0.580271016548972</v>
      </c>
      <c r="I55" s="5" t="n">
        <v>0.928557451339925</v>
      </c>
      <c r="J55" s="6" t="n">
        <f aca="false">F55*(F55*(1-F55)/G55^2-1)</f>
        <v>10.4838523163525</v>
      </c>
      <c r="K55" s="6" t="n">
        <f aca="false">(1-F55)*(F55*(1-F55)/G55^2-1)</f>
        <v>2.47322720350211</v>
      </c>
      <c r="L55" s="7" t="n">
        <f aca="false">J55/(J55+K55)</f>
        <v>0.809121553995846</v>
      </c>
    </row>
    <row r="56" customFormat="false" ht="15" hidden="false" customHeight="false" outlineLevel="0" collapsed="false">
      <c r="A56" s="0" t="s">
        <v>12</v>
      </c>
      <c r="B56" s="0" t="s">
        <v>32</v>
      </c>
      <c r="C56" s="0" t="s">
        <v>30</v>
      </c>
      <c r="D56" s="3"/>
      <c r="E56" s="5"/>
      <c r="F56" s="5" t="n">
        <v>0.820022990520545</v>
      </c>
      <c r="G56" s="5" t="n">
        <v>0.0852688446651078</v>
      </c>
      <c r="H56" s="5" t="n">
        <v>0.63786010318129</v>
      </c>
      <c r="I56" s="5" t="n">
        <v>0.921789871013729</v>
      </c>
      <c r="J56" s="6" t="n">
        <f aca="false">F56*(F56*(1-F56)/G56^2-1)</f>
        <v>15.8251506964579</v>
      </c>
      <c r="K56" s="6" t="n">
        <f aca="false">(1-F56)*(F56*(1-F56)/G56^2-1)</f>
        <v>3.47327249337511</v>
      </c>
      <c r="L56" s="7" t="n">
        <f aca="false">J56/(J56+K56)</f>
        <v>0.820022990520545</v>
      </c>
    </row>
    <row r="57" customFormat="false" ht="15" hidden="false" customHeight="false" outlineLevel="0" collapsed="false">
      <c r="A57" s="0" t="s">
        <v>12</v>
      </c>
      <c r="B57" s="0" t="s">
        <v>33</v>
      </c>
      <c r="C57" s="0" t="s">
        <v>34</v>
      </c>
      <c r="D57" s="3" t="n">
        <v>32</v>
      </c>
      <c r="E57" s="5" t="n">
        <v>0.706725663716814</v>
      </c>
      <c r="F57" s="5" t="n">
        <v>0.830432303750796</v>
      </c>
      <c r="G57" s="5" t="n">
        <v>0.0675197899308703</v>
      </c>
      <c r="H57" s="5" t="n">
        <v>0.689958554928339</v>
      </c>
      <c r="I57" s="5" t="n">
        <v>0.915092506498362</v>
      </c>
      <c r="J57" s="6" t="n">
        <f aca="false">F57*(F57*(1-F57)/G57^2-1)</f>
        <v>24.8196890833006</v>
      </c>
      <c r="K57" s="6" t="n">
        <f aca="false">(1-F57)*(F57*(1-F57)/G57^2-1)</f>
        <v>5.06798384464071</v>
      </c>
      <c r="L57" s="7" t="n">
        <f aca="false">J57/(J57+K57)</f>
        <v>0.830432303750796</v>
      </c>
    </row>
    <row r="58" customFormat="false" ht="15" hidden="false" customHeight="false" outlineLevel="0" collapsed="false">
      <c r="A58" s="0" t="s">
        <v>12</v>
      </c>
      <c r="B58" s="0" t="s">
        <v>35</v>
      </c>
      <c r="C58" s="0" t="s">
        <v>34</v>
      </c>
      <c r="D58" s="3" t="n">
        <v>47</v>
      </c>
      <c r="E58" s="5" t="n">
        <v>0.867479162288996</v>
      </c>
      <c r="F58" s="5" t="n">
        <v>0.84035678098472</v>
      </c>
      <c r="G58" s="5" t="n">
        <v>0.0523449263975651</v>
      </c>
      <c r="H58" s="5" t="n">
        <v>0.734786689081072</v>
      </c>
      <c r="I58" s="5" t="n">
        <v>0.909102421771892</v>
      </c>
      <c r="J58" s="6" t="n">
        <f aca="false">F58*(F58*(1-F58)/G58^2-1)</f>
        <v>40.305746029821</v>
      </c>
      <c r="K58" s="6" t="n">
        <f aca="false">(1-F58)*(F58*(1-F58)/G58^2-1)</f>
        <v>7.6569133332548</v>
      </c>
      <c r="L58" s="7" t="n">
        <f aca="false">J58/(J58+K58)</f>
        <v>0.84035678098472</v>
      </c>
    </row>
    <row r="59" customFormat="false" ht="15" hidden="false" customHeight="false" outlineLevel="0" collapsed="false">
      <c r="A59" s="0" t="s">
        <v>12</v>
      </c>
      <c r="B59" s="0" t="s">
        <v>36</v>
      </c>
      <c r="C59" s="0" t="s">
        <v>37</v>
      </c>
      <c r="D59" s="3" t="n">
        <v>72</v>
      </c>
      <c r="E59" s="5" t="n">
        <v>0.91683569979716</v>
      </c>
      <c r="F59" s="5" t="n">
        <v>0.849805453593687</v>
      </c>
      <c r="G59" s="5" t="n">
        <v>0.0405177472693163</v>
      </c>
      <c r="H59" s="5" t="n">
        <v>0.770453775260906</v>
      </c>
      <c r="I59" s="5" t="n">
        <v>0.905104729727905</v>
      </c>
      <c r="J59" s="6" t="n">
        <f aca="false">F59*(F59*(1-F59)/G59^2-1)</f>
        <v>65.2199362444913</v>
      </c>
      <c r="K59" s="6" t="n">
        <f aca="false">(1-F59)*(F59*(1-F59)/G59^2-1)</f>
        <v>11.5269662008707</v>
      </c>
      <c r="L59" s="7" t="n">
        <f aca="false">J59/(J59+K59)</f>
        <v>0.849805453593687</v>
      </c>
    </row>
    <row r="60" customFormat="false" ht="15" hidden="false" customHeight="false" outlineLevel="0" collapsed="false">
      <c r="A60" s="0" t="s">
        <v>12</v>
      </c>
      <c r="B60" s="0" t="s">
        <v>38</v>
      </c>
      <c r="C60" s="0" t="s">
        <v>34</v>
      </c>
      <c r="D60" s="3" t="n">
        <v>24</v>
      </c>
      <c r="E60" s="5" t="n">
        <v>0.953141905950895</v>
      </c>
      <c r="F60" s="5" t="n">
        <v>0.858788866888775</v>
      </c>
      <c r="G60" s="5" t="n">
        <v>0.0333266339979995</v>
      </c>
      <c r="H60" s="5" t="n">
        <v>0.794652420903637</v>
      </c>
      <c r="I60" s="5" t="n">
        <v>0.905281199572393</v>
      </c>
      <c r="J60" s="6" t="n">
        <f aca="false">F60*(F60*(1-F60)/G60^2-1)</f>
        <v>92.9101163297396</v>
      </c>
      <c r="K60" s="6" t="n">
        <f aca="false">(1-F60)*(F60*(1-F60)/G60^2-1)</f>
        <v>15.27726232869</v>
      </c>
      <c r="L60" s="7" t="n">
        <f aca="false">J60/(J60+K60)</f>
        <v>0.858788866888775</v>
      </c>
    </row>
    <row r="61" customFormat="false" ht="15" hidden="false" customHeight="false" outlineLevel="0" collapsed="false">
      <c r="A61" s="0" t="s">
        <v>12</v>
      </c>
      <c r="B61" s="0" t="s">
        <v>39</v>
      </c>
      <c r="C61" s="0" t="s">
        <v>34</v>
      </c>
      <c r="D61" s="3" t="n">
        <v>47</v>
      </c>
      <c r="E61" s="5" t="n">
        <v>0.956350825143705</v>
      </c>
      <c r="F61" s="5" t="n">
        <v>0.867318857201636</v>
      </c>
      <c r="G61" s="5" t="n">
        <v>0.0318254027543774</v>
      </c>
      <c r="H61" s="5" t="n">
        <v>0.80573321077551</v>
      </c>
      <c r="I61" s="5" t="n">
        <v>0.911524713159174</v>
      </c>
      <c r="J61" s="6" t="n">
        <f aca="false">F61*(F61*(1-F61)/G61^2-1)</f>
        <v>97.6741347755451</v>
      </c>
      <c r="K61" s="6" t="n">
        <f aca="false">(1-F61)*(F61*(1-F61)/G61^2-1)</f>
        <v>14.9420431900605</v>
      </c>
      <c r="L61" s="7" t="n">
        <f aca="false">J61/(J61+K61)</f>
        <v>0.867318857201636</v>
      </c>
    </row>
    <row r="62" customFormat="false" ht="15" hidden="false" customHeight="false" outlineLevel="0" collapsed="false">
      <c r="A62" s="0" t="s">
        <v>12</v>
      </c>
      <c r="B62" s="0" t="s">
        <v>40</v>
      </c>
      <c r="C62" s="0" t="s">
        <v>34</v>
      </c>
      <c r="D62" s="3" t="n">
        <v>45</v>
      </c>
      <c r="E62" s="5" t="n">
        <v>0.887753926500518</v>
      </c>
      <c r="F62" s="5" t="n">
        <v>0.875408338845464</v>
      </c>
      <c r="G62" s="5" t="n">
        <v>0.0351160332132096</v>
      </c>
      <c r="H62" s="5" t="n">
        <v>0.805341527196174</v>
      </c>
      <c r="I62" s="5" t="n">
        <v>0.922676281217621</v>
      </c>
      <c r="J62" s="6" t="n">
        <f aca="false">F62*(F62*(1-F62)/G62^2-1)</f>
        <v>76.5528396712826</v>
      </c>
      <c r="K62" s="6" t="n">
        <f aca="false">(1-F62)*(F62*(1-F62)/G62^2-1)</f>
        <v>10.8953102655168</v>
      </c>
      <c r="L62" s="7" t="n">
        <f aca="false">J62/(J62+K62)</f>
        <v>0.875408338845464</v>
      </c>
    </row>
    <row r="63" customFormat="false" ht="15" hidden="false" customHeight="false" outlineLevel="0" collapsed="false">
      <c r="A63" s="0" t="s">
        <v>12</v>
      </c>
      <c r="B63" s="0" t="s">
        <v>41</v>
      </c>
      <c r="C63" s="0" t="s">
        <v>34</v>
      </c>
      <c r="D63" s="3" t="n">
        <v>38</v>
      </c>
      <c r="E63" s="5" t="n">
        <v>0.81305199042854</v>
      </c>
      <c r="F63" s="5" t="n">
        <v>0.883071103032333</v>
      </c>
      <c r="G63" s="5" t="n">
        <v>0.0409200042363223</v>
      </c>
      <c r="H63" s="5" t="n">
        <v>0.797369666059094</v>
      </c>
      <c r="I63" s="5" t="n">
        <v>0.935459462076794</v>
      </c>
      <c r="J63" s="6" t="n">
        <f aca="false">F63*(F63*(1-F63)/G63^2-1)</f>
        <v>53.5724426606193</v>
      </c>
      <c r="K63" s="6" t="n">
        <f aca="false">(1-F63)*(F63*(1-F63)/G63^2-1)</f>
        <v>7.09361523286129</v>
      </c>
      <c r="L63" s="7" t="n">
        <f aca="false">J63/(J63+K63)</f>
        <v>0.883071103032333</v>
      </c>
    </row>
    <row r="64" customFormat="false" ht="15" hidden="false" customHeight="false" outlineLevel="0" collapsed="false">
      <c r="A64" s="0" t="s">
        <v>12</v>
      </c>
      <c r="B64" s="0" t="s">
        <v>42</v>
      </c>
      <c r="C64" s="0" t="s">
        <v>34</v>
      </c>
      <c r="D64" s="3" t="n">
        <v>35</v>
      </c>
      <c r="E64" s="5" t="n">
        <v>0.84289477208804</v>
      </c>
      <c r="F64" s="5" t="n">
        <v>0.890321630274183</v>
      </c>
      <c r="G64" s="5" t="n">
        <v>0.0475032295005748</v>
      </c>
      <c r="H64" s="5" t="n">
        <v>0.784787826694026</v>
      </c>
      <c r="I64" s="5" t="n">
        <v>0.947562564633259</v>
      </c>
      <c r="J64" s="6" t="n">
        <f aca="false">F64*(F64*(1-F64)/G64^2-1)</f>
        <v>37.6369773852475</v>
      </c>
      <c r="K64" s="6" t="n">
        <f aca="false">(1-F64)*(F64*(1-F64)/G64^2-1)</f>
        <v>4.63648436773367</v>
      </c>
      <c r="L64" s="7" t="n">
        <f aca="false">J64/(J64+K64)</f>
        <v>0.890321630274183</v>
      </c>
    </row>
    <row r="65" customFormat="false" ht="15" hidden="false" customHeight="false" outlineLevel="0" collapsed="false">
      <c r="A65" s="0" t="s">
        <v>12</v>
      </c>
      <c r="B65" s="0" t="s">
        <v>43</v>
      </c>
      <c r="C65" s="0" t="s">
        <v>30</v>
      </c>
      <c r="D65" s="3"/>
      <c r="E65" s="5"/>
      <c r="F65" s="5" t="n">
        <v>0.89717491729657</v>
      </c>
      <c r="G65" s="5" t="n">
        <v>0.0539866523322562</v>
      </c>
      <c r="H65" s="5" t="n">
        <v>0.769156500657118</v>
      </c>
      <c r="I65" s="5" t="n">
        <v>0.958068766687531</v>
      </c>
      <c r="J65" s="6" t="n">
        <f aca="false">F65*(F65*(1-F65)/G65^2-1)</f>
        <v>27.5003518781351</v>
      </c>
      <c r="K65" s="6" t="n">
        <f aca="false">(1-F65)*(F65*(1-F65)/G65^2-1)</f>
        <v>3.15181120395492</v>
      </c>
      <c r="L65" s="7" t="n">
        <f aca="false">J65/(J65+K65)</f>
        <v>0.89717491729657</v>
      </c>
    </row>
    <row r="66" customFormat="false" ht="15" hidden="false" customHeight="false" outlineLevel="0" collapsed="false">
      <c r="A66" s="0" t="s">
        <v>12</v>
      </c>
      <c r="B66" s="0" t="s">
        <v>44</v>
      </c>
      <c r="C66" s="0" t="s">
        <v>30</v>
      </c>
      <c r="D66" s="3"/>
      <c r="E66" s="5"/>
      <c r="F66" s="5" t="n">
        <v>0.903646319053514</v>
      </c>
      <c r="G66" s="5" t="n">
        <v>0.0599768927838594</v>
      </c>
      <c r="H66" s="5" t="n">
        <v>0.751246942801814</v>
      </c>
      <c r="I66" s="5" t="n">
        <v>0.966803510306904</v>
      </c>
      <c r="J66" s="6" t="n">
        <f aca="false">F66*(F66*(1-F66)/G66^2-1)</f>
        <v>20.9687996824653</v>
      </c>
      <c r="K66" s="6" t="n">
        <f aca="false">(1-F66)*(F66*(1-F66)/G66^2-1)</f>
        <v>2.23585377579054</v>
      </c>
      <c r="L66" s="7" t="n">
        <f aca="false">J66/(J66+K66)</f>
        <v>0.903646319053514</v>
      </c>
    </row>
    <row r="67" customFormat="false" ht="15" hidden="false" customHeight="false" outlineLevel="0" collapsed="false">
      <c r="A67" s="0" t="s">
        <v>13</v>
      </c>
      <c r="B67" s="0" t="s">
        <v>29</v>
      </c>
      <c r="C67" s="0" t="s">
        <v>30</v>
      </c>
      <c r="D67" s="3"/>
      <c r="E67" s="5"/>
      <c r="F67" s="5" t="n">
        <v>0.937049851548038</v>
      </c>
      <c r="G67" s="5" t="n">
        <v>0.0656151730905002</v>
      </c>
      <c r="H67" s="5" t="n">
        <v>0.704862924244284</v>
      </c>
      <c r="I67" s="5" t="n">
        <v>0.989336663217767</v>
      </c>
      <c r="J67" s="6" t="n">
        <f aca="false">F67*(F67*(1-F67)/G67^2-1)</f>
        <v>11.9014296901</v>
      </c>
      <c r="K67" s="6" t="n">
        <f aca="false">(1-F67)*(F67*(1-F67)/G67^2-1)</f>
        <v>0.799527116454564</v>
      </c>
      <c r="L67" s="7" t="n">
        <f aca="false">J67/(J67+K67)</f>
        <v>0.937049851548038</v>
      </c>
    </row>
    <row r="68" customFormat="false" ht="15" hidden="false" customHeight="false" outlineLevel="0" collapsed="false">
      <c r="A68" s="0" t="s">
        <v>13</v>
      </c>
      <c r="B68" s="0" t="s">
        <v>31</v>
      </c>
      <c r="C68" s="0" t="s">
        <v>30</v>
      </c>
      <c r="D68" s="3"/>
      <c r="E68" s="5"/>
      <c r="F68" s="5" t="n">
        <v>0.947279225310769</v>
      </c>
      <c r="G68" s="5" t="n">
        <v>0.0452871700348127</v>
      </c>
      <c r="H68" s="5" t="n">
        <v>0.801689120991233</v>
      </c>
      <c r="I68" s="5" t="n">
        <v>0.987633049971403</v>
      </c>
      <c r="J68" s="6" t="n">
        <f aca="false">F68*(F68*(1-F68)/G68^2-1)</f>
        <v>22.1195257408669</v>
      </c>
      <c r="K68" s="6" t="n">
        <f aca="false">(1-F68)*(F68*(1-F68)/G68^2-1)</f>
        <v>1.23106102367474</v>
      </c>
      <c r="L68" s="7" t="n">
        <f aca="false">J68/(J68+K68)</f>
        <v>0.947279225310769</v>
      </c>
    </row>
    <row r="69" customFormat="false" ht="15" hidden="false" customHeight="false" outlineLevel="0" collapsed="false">
      <c r="A69" s="0" t="s">
        <v>13</v>
      </c>
      <c r="B69" s="0" t="s">
        <v>32</v>
      </c>
      <c r="C69" s="0" t="s">
        <v>30</v>
      </c>
      <c r="D69" s="3"/>
      <c r="E69" s="5"/>
      <c r="F69" s="5" t="n">
        <v>0.955924517168515</v>
      </c>
      <c r="G69" s="5" t="n">
        <v>0.0301331817945857</v>
      </c>
      <c r="H69" s="5" t="n">
        <v>0.869923203747656</v>
      </c>
      <c r="I69" s="5" t="n">
        <v>0.985981650857396</v>
      </c>
      <c r="J69" s="6" t="n">
        <f aca="false">F69*(F69*(1-F69)/G69^2-1)</f>
        <v>43.4002716859266</v>
      </c>
      <c r="K69" s="6" t="n">
        <f aca="false">(1-F69)*(F69*(1-F69)/G69^2-1)</f>
        <v>2.00108679630992</v>
      </c>
      <c r="L69" s="7" t="n">
        <f aca="false">J69/(J69+K69)</f>
        <v>0.955924517168515</v>
      </c>
    </row>
    <row r="70" customFormat="false" ht="15" hidden="false" customHeight="false" outlineLevel="0" collapsed="false">
      <c r="A70" s="0" t="s">
        <v>13</v>
      </c>
      <c r="B70" s="0" t="s">
        <v>33</v>
      </c>
      <c r="C70" s="0" t="s">
        <v>34</v>
      </c>
      <c r="D70" s="3" t="n">
        <v>63</v>
      </c>
      <c r="E70" s="5" t="n">
        <v>0.95582779742904</v>
      </c>
      <c r="F70" s="5" t="n">
        <v>0.963207194561255</v>
      </c>
      <c r="G70" s="5" t="n">
        <v>0.0195702597935692</v>
      </c>
      <c r="H70" s="5" t="n">
        <v>0.913454278625782</v>
      </c>
      <c r="I70" s="5" t="n">
        <v>0.984833327075362</v>
      </c>
      <c r="J70" s="6" t="n">
        <f aca="false">F70*(F70*(1-F70)/G70^2-1)</f>
        <v>88.1637659713228</v>
      </c>
      <c r="K70" s="6" t="n">
        <f aca="false">(1-F70)*(F70*(1-F70)/G70^2-1)</f>
        <v>3.36769939681307</v>
      </c>
      <c r="L70" s="7" t="n">
        <f aca="false">J70/(J70+K70)</f>
        <v>0.963207194561255</v>
      </c>
    </row>
    <row r="71" customFormat="false" ht="15" hidden="false" customHeight="false" outlineLevel="0" collapsed="false">
      <c r="A71" s="0" t="s">
        <v>13</v>
      </c>
      <c r="B71" s="0" t="s">
        <v>35</v>
      </c>
      <c r="C71" s="0" t="s">
        <v>34</v>
      </c>
      <c r="D71" s="3" t="n">
        <v>58</v>
      </c>
      <c r="E71" s="5" t="n">
        <v>0.983068713353976</v>
      </c>
      <c r="F71" s="5" t="n">
        <v>0.969325154979</v>
      </c>
      <c r="G71" s="5" t="n">
        <v>0.0133848421607431</v>
      </c>
      <c r="H71" s="5" t="n">
        <v>0.937769174186049</v>
      </c>
      <c r="I71" s="5" t="n">
        <v>0.985133414715511</v>
      </c>
      <c r="J71" s="6" t="n">
        <f aca="false">F71*(F71*(1-F71)/G71^2-1)</f>
        <v>159.907999474109</v>
      </c>
      <c r="K71" s="6" t="n">
        <f aca="false">(1-F71)*(F71*(1-F71)/G71^2-1)</f>
        <v>5.06037945707983</v>
      </c>
      <c r="L71" s="7" t="n">
        <f aca="false">J71/(J71+K71)</f>
        <v>0.969325154979</v>
      </c>
    </row>
    <row r="72" customFormat="false" ht="15" hidden="false" customHeight="false" outlineLevel="0" collapsed="false">
      <c r="A72" s="0" t="s">
        <v>13</v>
      </c>
      <c r="B72" s="0" t="s">
        <v>36</v>
      </c>
      <c r="C72" s="0" t="s">
        <v>37</v>
      </c>
      <c r="D72" s="3" t="n">
        <v>7</v>
      </c>
      <c r="E72" s="5" t="n">
        <v>1</v>
      </c>
      <c r="F72" s="5" t="n">
        <v>0.974452794168891</v>
      </c>
      <c r="G72" s="5" t="n">
        <v>0.0112597029537373</v>
      </c>
      <c r="H72" s="5" t="n">
        <v>0.947713857837342</v>
      </c>
      <c r="I72" s="5" t="n">
        <v>0.987695081923152</v>
      </c>
      <c r="J72" s="6" t="n">
        <f aca="false">F72*(F72*(1-F72)/G72^2-1)</f>
        <v>190.367918039715</v>
      </c>
      <c r="K72" s="6" t="n">
        <f aca="false">(1-F72)*(F72*(1-F72)/G72^2-1)</f>
        <v>4.99087119961345</v>
      </c>
      <c r="L72" s="7" t="n">
        <f aca="false">J72/(J72+K72)</f>
        <v>0.974452794168891</v>
      </c>
    </row>
    <row r="73" customFormat="false" ht="15" hidden="false" customHeight="false" outlineLevel="0" collapsed="false">
      <c r="A73" s="0" t="s">
        <v>13</v>
      </c>
      <c r="B73" s="0" t="s">
        <v>38</v>
      </c>
      <c r="C73" s="0" t="s">
        <v>34</v>
      </c>
      <c r="D73" s="3" t="n">
        <v>22</v>
      </c>
      <c r="E73" s="5" t="n">
        <v>1</v>
      </c>
      <c r="F73" s="5" t="n">
        <v>0.978742089479658</v>
      </c>
      <c r="G73" s="5" t="n">
        <v>0.0115982607330108</v>
      </c>
      <c r="H73" s="5" t="n">
        <v>0.948462757565438</v>
      </c>
      <c r="I73" s="5" t="n">
        <v>0.991393043820017</v>
      </c>
      <c r="J73" s="6" t="n">
        <f aca="false">F73*(F73*(1-F73)/G73^2-1)</f>
        <v>150.402257763836</v>
      </c>
      <c r="K73" s="6" t="n">
        <f aca="false">(1-F73)*(F73*(1-F73)/G73^2-1)</f>
        <v>3.26668054022364</v>
      </c>
      <c r="L73" s="7" t="n">
        <f aca="false">J73/(J73+K73)</f>
        <v>0.978742089479658</v>
      </c>
    </row>
    <row r="74" customFormat="false" ht="15" hidden="false" customHeight="false" outlineLevel="0" collapsed="false">
      <c r="A74" s="0" t="s">
        <v>13</v>
      </c>
      <c r="B74" s="0" t="s">
        <v>39</v>
      </c>
      <c r="C74" s="0" t="s">
        <v>34</v>
      </c>
      <c r="D74" s="3" t="n">
        <v>27</v>
      </c>
      <c r="E74" s="5" t="n">
        <v>0.933720759158452</v>
      </c>
      <c r="F74" s="5" t="n">
        <v>0.982324288681368</v>
      </c>
      <c r="G74" s="5" t="n">
        <v>0.0125348855759331</v>
      </c>
      <c r="H74" s="5" t="n">
        <v>0.944284701857249</v>
      </c>
      <c r="I74" s="5" t="n">
        <v>0.994542473349289</v>
      </c>
      <c r="J74" s="6" t="n">
        <f aca="false">F74*(F74*(1-F74)/G74^2-1)</f>
        <v>107.571697240057</v>
      </c>
      <c r="K74" s="6" t="n">
        <f aca="false">(1-F74)*(F74*(1-F74)/G74^2-1)</f>
        <v>1.93561972189746</v>
      </c>
      <c r="L74" s="7" t="n">
        <f aca="false">J74/(J74+K74)</f>
        <v>0.982324288681368</v>
      </c>
    </row>
    <row r="75" customFormat="false" ht="15" hidden="false" customHeight="false" outlineLevel="0" collapsed="false">
      <c r="A75" s="0" t="s">
        <v>13</v>
      </c>
      <c r="B75" s="0" t="s">
        <v>40</v>
      </c>
      <c r="C75" s="0" t="s">
        <v>34</v>
      </c>
      <c r="D75" s="3" t="n">
        <v>10</v>
      </c>
      <c r="E75" s="5" t="n">
        <v>1</v>
      </c>
      <c r="F75" s="5" t="n">
        <v>0.985311905572188</v>
      </c>
      <c r="G75" s="5" t="n">
        <v>0.0132311693599055</v>
      </c>
      <c r="H75" s="5" t="n">
        <v>0.937144571460536</v>
      </c>
      <c r="I75" s="5" t="n">
        <v>0.996697744073055</v>
      </c>
      <c r="J75" s="6" t="n">
        <f aca="false">F75*(F75*(1-F75)/G75^2-1)</f>
        <v>80.4694464781619</v>
      </c>
      <c r="K75" s="6" t="n">
        <f aca="false">(1-F75)*(F75*(1-F75)/G75^2-1)</f>
        <v>1.19956210996828</v>
      </c>
      <c r="L75" s="7" t="n">
        <f aca="false">J75/(J75+K75)</f>
        <v>0.985311905572188</v>
      </c>
    </row>
    <row r="76" customFormat="false" ht="15" hidden="false" customHeight="false" outlineLevel="0" collapsed="false">
      <c r="A76" s="0" t="s">
        <v>13</v>
      </c>
      <c r="B76" s="0" t="s">
        <v>41</v>
      </c>
      <c r="C76" s="0" t="s">
        <v>34</v>
      </c>
      <c r="D76" s="3" t="n">
        <v>20</v>
      </c>
      <c r="E76" s="5" t="n">
        <v>1</v>
      </c>
      <c r="F76" s="5" t="n">
        <v>0.987800815108713</v>
      </c>
      <c r="G76" s="5" t="n">
        <v>0.0134982189698479</v>
      </c>
      <c r="H76" s="5" t="n">
        <v>0.927671859273164</v>
      </c>
      <c r="I76" s="5" t="n">
        <v>0.998047634082789</v>
      </c>
      <c r="J76" s="6" t="n">
        <f aca="false">F76*(F76*(1-F76)/G76^2-1)</f>
        <v>64.3427975374909</v>
      </c>
      <c r="K76" s="6" t="n">
        <f aca="false">(1-F76)*(F76*(1-F76)/G76^2-1)</f>
        <v>0.794623441868807</v>
      </c>
      <c r="L76" s="7" t="n">
        <f aca="false">J76/(J76+K76)</f>
        <v>0.987800815108713</v>
      </c>
    </row>
    <row r="77" customFormat="false" ht="15" hidden="false" customHeight="false" outlineLevel="0" collapsed="false">
      <c r="A77" s="0" t="s">
        <v>13</v>
      </c>
      <c r="B77" s="0" t="s">
        <v>42</v>
      </c>
      <c r="C77" s="0" t="s">
        <v>34</v>
      </c>
      <c r="D77" s="3" t="n">
        <v>12</v>
      </c>
      <c r="E77" s="5" t="n">
        <v>1</v>
      </c>
      <c r="F77" s="5" t="n">
        <v>0.989872311904282</v>
      </c>
      <c r="G77" s="5" t="n">
        <v>0.0133672318117258</v>
      </c>
      <c r="H77" s="5" t="n">
        <v>0.915977150857627</v>
      </c>
      <c r="I77" s="5" t="n">
        <v>0.998860132953493</v>
      </c>
      <c r="J77" s="6" t="n">
        <f aca="false">F77*(F77*(1-F77)/G77^2-1)</f>
        <v>54.5475491281056</v>
      </c>
      <c r="K77" s="6" t="n">
        <f aca="false">(1-F77)*(F77*(1-F77)/G77^2-1)</f>
        <v>0.558092753289105</v>
      </c>
      <c r="L77" s="7" t="n">
        <f aca="false">J77/(J77+K77)</f>
        <v>0.989872311904282</v>
      </c>
    </row>
    <row r="78" customFormat="false" ht="15" hidden="false" customHeight="false" outlineLevel="0" collapsed="false">
      <c r="A78" s="0" t="s">
        <v>13</v>
      </c>
      <c r="B78" s="0" t="s">
        <v>43</v>
      </c>
      <c r="C78" s="0" t="s">
        <v>30</v>
      </c>
      <c r="D78" s="3"/>
      <c r="E78" s="5"/>
      <c r="F78" s="5" t="n">
        <v>0.991595048752448</v>
      </c>
      <c r="G78" s="5" t="n">
        <v>0.0129256474798686</v>
      </c>
      <c r="H78" s="5" t="n">
        <v>0.901966615780627</v>
      </c>
      <c r="I78" s="5" t="n">
        <v>0.999339411237372</v>
      </c>
      <c r="J78" s="6" t="n">
        <f aca="false">F78*(F78*(1-F78)/G78^2-1)</f>
        <v>48.4735495873461</v>
      </c>
      <c r="K78" s="6" t="n">
        <f aca="false">(1-F78)*(F78*(1-F78)/G78^2-1)</f>
        <v>0.41087117325769</v>
      </c>
      <c r="L78" s="7" t="n">
        <f aca="false">J78/(J78+K78)</f>
        <v>0.991595048752448</v>
      </c>
    </row>
    <row r="79" customFormat="false" ht="15" hidden="false" customHeight="false" outlineLevel="0" collapsed="false">
      <c r="A79" s="0" t="s">
        <v>13</v>
      </c>
      <c r="B79" s="0" t="s">
        <v>44</v>
      </c>
      <c r="C79" s="0" t="s">
        <v>30</v>
      </c>
      <c r="D79" s="3"/>
      <c r="E79" s="5"/>
      <c r="F79" s="5" t="n">
        <v>0.993026809487272</v>
      </c>
      <c r="G79" s="5" t="n">
        <v>0.0122643330075041</v>
      </c>
      <c r="H79" s="5" t="n">
        <v>0.885458592291946</v>
      </c>
      <c r="I79" s="5" t="n">
        <v>0.999618950553526</v>
      </c>
      <c r="J79" s="6" t="n">
        <f aca="false">F79*(F79*(1-F79)/G79^2-1)</f>
        <v>44.722697969155</v>
      </c>
      <c r="K79" s="6" t="n">
        <f aca="false">(1-F79)*(F79*(1-F79)/G79^2-1)</f>
        <v>0.314049822424362</v>
      </c>
      <c r="L79" s="7" t="n">
        <f aca="false">J79/(J79+K79)</f>
        <v>0.993026809487272</v>
      </c>
    </row>
    <row r="81" customFormat="false" ht="15" hidden="false" customHeight="false" outlineLevel="0" collapsed="false">
      <c r="A81" s="4" t="s">
        <v>45</v>
      </c>
    </row>
    <row r="82" customFormat="false" ht="15" hidden="false" customHeight="false" outlineLevel="0" collapsed="false">
      <c r="A82" s="4" t="s">
        <v>46</v>
      </c>
    </row>
    <row r="83" customFormat="false" ht="15" hidden="false" customHeight="false" outlineLevel="0" collapsed="false">
      <c r="A83" s="4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3"/>
  </cols>
  <sheetData>
    <row r="1" customFormat="false" ht="48" hidden="false" customHeight="true" outlineLevel="0" collapsed="false">
      <c r="A1" s="1" t="s">
        <v>18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</row>
    <row r="2" customFormat="false" ht="15" hidden="false" customHeight="false" outlineLevel="0" collapsed="false">
      <c r="A2" s="0" t="s">
        <v>29</v>
      </c>
      <c r="B2" s="2" t="n">
        <v>0.338298098751419</v>
      </c>
      <c r="C2" s="2" t="n">
        <v>0.207998723041998</v>
      </c>
      <c r="D2" s="2" t="n">
        <v>0.236588393870602</v>
      </c>
      <c r="E2" s="2" t="n">
        <v>0.130444807037457</v>
      </c>
      <c r="F2" s="2" t="n">
        <v>0.046644438138479</v>
      </c>
      <c r="G2" s="2" t="n">
        <v>0.0400255391600454</v>
      </c>
      <c r="H2" s="5" t="n">
        <v>0.0500650485813777</v>
      </c>
      <c r="I2" s="5" t="n">
        <v>0.229297560524246</v>
      </c>
      <c r="J2" s="5" t="n">
        <v>0.326982788889513</v>
      </c>
      <c r="K2" s="5" t="n">
        <v>0.623795397628428</v>
      </c>
      <c r="L2" s="5" t="n">
        <v>0.7977226850192</v>
      </c>
      <c r="M2" s="5" t="n">
        <v>0.937049851548038</v>
      </c>
      <c r="N2" s="7" t="n">
        <f aca="false">SUMPRODUCT(B2:G2,H2:M2)</f>
        <v>0.29807696561695</v>
      </c>
      <c r="O2" s="8" t="n">
        <f aca="false">SQRT((B2*0.019119)^2+(C2*0.054021)^2+(D2*0.041475)^2+(E2*0.157913)^2+(F2*0.127079)^2+(G2*0.065615)^2)*100</f>
        <v>2.70318796896585</v>
      </c>
      <c r="P2" s="5"/>
    </row>
    <row r="3" customFormat="false" ht="15" hidden="false" customHeight="false" outlineLevel="0" collapsed="false">
      <c r="A3" s="0" t="s">
        <v>31</v>
      </c>
      <c r="B3" s="2" t="n">
        <v>0.337699559676194</v>
      </c>
      <c r="C3" s="2" t="n">
        <v>0.203628073852261</v>
      </c>
      <c r="D3" s="2" t="n">
        <v>0.237573604166594</v>
      </c>
      <c r="E3" s="2" t="n">
        <v>0.131580134421941</v>
      </c>
      <c r="F3" s="2" t="n">
        <v>0.0480712845727055</v>
      </c>
      <c r="G3" s="2" t="n">
        <v>0.0414473433103051</v>
      </c>
      <c r="H3" s="5" t="n">
        <v>0.0559923808942897</v>
      </c>
      <c r="I3" s="5" t="n">
        <v>0.236047991462622</v>
      </c>
      <c r="J3" s="5" t="n">
        <v>0.343343895344869</v>
      </c>
      <c r="K3" s="5" t="n">
        <v>0.644831650933101</v>
      </c>
      <c r="L3" s="5" t="n">
        <v>0.809121553995846</v>
      </c>
      <c r="M3" s="5" t="n">
        <v>0.947279225310769</v>
      </c>
      <c r="N3" s="7" t="n">
        <f aca="false">SUMPRODUCT(B3:G3,H3:M3)</f>
        <v>0.311548801944649</v>
      </c>
      <c r="O3" s="8" t="n">
        <f aca="false">SQRT((B3*0.018546)^2+(C3*0.047784)^2+(D3*0.03683)^2+(E3*0.13148)^2+(F3*0.105193)^2+(G3*0.045287)^2)*100</f>
        <v>2.32131441159597</v>
      </c>
      <c r="P3" s="5"/>
    </row>
    <row r="4" customFormat="false" ht="15" hidden="false" customHeight="false" outlineLevel="0" collapsed="false">
      <c r="A4" s="0" t="s">
        <v>32</v>
      </c>
      <c r="B4" s="2" t="n">
        <v>0.340063601029731</v>
      </c>
      <c r="C4" s="2" t="n">
        <v>0.200474483872596</v>
      </c>
      <c r="D4" s="2" t="n">
        <v>0.232951390641563</v>
      </c>
      <c r="E4" s="2" t="n">
        <v>0.133636195379671</v>
      </c>
      <c r="F4" s="2" t="n">
        <v>0.0499251257718776</v>
      </c>
      <c r="G4" s="2" t="n">
        <v>0.0429492033045614</v>
      </c>
      <c r="H4" s="5" t="n">
        <v>0.0625752389494167</v>
      </c>
      <c r="I4" s="5" t="n">
        <v>0.242934510398897</v>
      </c>
      <c r="J4" s="5" t="n">
        <v>0.360085649880129</v>
      </c>
      <c r="K4" s="5" t="n">
        <v>0.665322716830775</v>
      </c>
      <c r="L4" s="5" t="n">
        <v>0.820022990520545</v>
      </c>
      <c r="M4" s="5" t="n">
        <v>0.955924517168515</v>
      </c>
      <c r="N4" s="7" t="n">
        <f aca="false">SUMPRODUCT(B4:G4,H4:M4)</f>
        <v>0.324771328515328</v>
      </c>
      <c r="O4" s="8" t="n">
        <f aca="false">SQRT((B4*0.017656)^2+(C4*0.04144)^2+(D4*0.032021)^2+(E4*0.106732)^2+(F4*0.085269)^2+(G4*0.030133)^2)*100</f>
        <v>1.95945656315725</v>
      </c>
      <c r="P4" s="5"/>
    </row>
    <row r="5" customFormat="false" ht="15" hidden="false" customHeight="false" outlineLevel="0" collapsed="false">
      <c r="A5" s="0" t="s">
        <v>33</v>
      </c>
      <c r="B5" s="2" t="n">
        <v>0.342605862109096</v>
      </c>
      <c r="C5" s="2" t="n">
        <v>0.203840462850588</v>
      </c>
      <c r="D5" s="2" t="n">
        <v>0.229277294718117</v>
      </c>
      <c r="E5" s="2" t="n">
        <v>0.134668905551215</v>
      </c>
      <c r="F5" s="2" t="n">
        <v>0.0484363829822607</v>
      </c>
      <c r="G5" s="2" t="n">
        <v>0.0411710917887247</v>
      </c>
      <c r="H5" s="5" t="n">
        <v>0.0698747385857696</v>
      </c>
      <c r="I5" s="5" t="n">
        <v>0.249956203184227</v>
      </c>
      <c r="J5" s="5" t="n">
        <v>0.377174850408563</v>
      </c>
      <c r="K5" s="5" t="n">
        <v>0.68520869891408</v>
      </c>
      <c r="L5" s="5" t="n">
        <v>0.830432303750796</v>
      </c>
      <c r="M5" s="5" t="n">
        <v>0.963207194561255</v>
      </c>
      <c r="N5" s="7" t="n">
        <f aca="false">SUMPRODUCT(B5:G5,H5:M5)</f>
        <v>0.333524047020746</v>
      </c>
      <c r="O5" s="8" t="n">
        <f aca="false">SQRT((B5*0.016451)^2+(C5*0.035126)^2+(D5*0.027195)^2+(E5*0.084461)^2+(F5*0.06752)^2+(G5*0.01957)^2)*100</f>
        <v>1.62058767725368</v>
      </c>
      <c r="P5" s="5" t="n">
        <v>0.348125892968183</v>
      </c>
    </row>
    <row r="6" customFormat="false" ht="15" hidden="false" customHeight="false" outlineLevel="0" collapsed="false">
      <c r="A6" s="0" t="s">
        <v>35</v>
      </c>
      <c r="B6" s="2" t="n">
        <v>0.338373006803403</v>
      </c>
      <c r="C6" s="2" t="n">
        <v>0.199305570775112</v>
      </c>
      <c r="D6" s="2" t="n">
        <v>0.228450934411191</v>
      </c>
      <c r="E6" s="2" t="n">
        <v>0.140182029373918</v>
      </c>
      <c r="F6" s="2" t="n">
        <v>0.0519319096177508</v>
      </c>
      <c r="G6" s="2" t="n">
        <v>0.0417565490186256</v>
      </c>
      <c r="H6" s="5" t="n">
        <v>0.0779549269044743</v>
      </c>
      <c r="I6" s="5" t="n">
        <v>0.257111922463462</v>
      </c>
      <c r="J6" s="5" t="n">
        <v>0.39457499555674</v>
      </c>
      <c r="K6" s="5" t="n">
        <v>0.704437997250784</v>
      </c>
      <c r="L6" s="5" t="n">
        <v>0.84035678098472</v>
      </c>
      <c r="M6" s="5" t="n">
        <v>0.969325154979</v>
      </c>
      <c r="N6" s="7" t="n">
        <f aca="false">SUMPRODUCT(B6:G6,H6:M6)</f>
        <v>0.350629261670045</v>
      </c>
      <c r="O6" s="8" t="n">
        <f aca="false">SQRT((B6*0.015)^2+(C6*0.029107)^2+(D6*0.022605)^2+(E6*0.065937)^2+(F6*0.052345)^2+(G6*0.013385)^2)*100</f>
        <v>1.33873852492049</v>
      </c>
      <c r="P6" s="5" t="n">
        <v>0.332603282091738</v>
      </c>
    </row>
    <row r="7" customFormat="false" ht="15" hidden="false" customHeight="false" outlineLevel="0" collapsed="false">
      <c r="A7" s="0" t="s">
        <v>36</v>
      </c>
      <c r="B7" s="2" t="n">
        <v>0.332029125253424</v>
      </c>
      <c r="C7" s="2" t="n">
        <v>0.198944271374178</v>
      </c>
      <c r="D7" s="2" t="n">
        <v>0.233181278742026</v>
      </c>
      <c r="E7" s="2" t="n">
        <v>0.143422711763833</v>
      </c>
      <c r="F7" s="2" t="n">
        <v>0.052755525886367</v>
      </c>
      <c r="G7" s="2" t="n">
        <v>0.0396670869801711</v>
      </c>
      <c r="H7" s="5" t="n">
        <v>0.0868822140858275</v>
      </c>
      <c r="I7" s="5" t="n">
        <v>0.264400281476261</v>
      </c>
      <c r="J7" s="5" t="n">
        <v>0.412246541505928</v>
      </c>
      <c r="K7" s="5" t="n">
        <v>0.722967567940336</v>
      </c>
      <c r="L7" s="5" t="n">
        <v>0.849805453593687</v>
      </c>
      <c r="M7" s="5" t="n">
        <v>0.974452794168891</v>
      </c>
      <c r="N7" s="7" t="n">
        <f aca="false">SUMPRODUCT(B7:G7,H7:M7)</f>
        <v>0.364752129058863</v>
      </c>
      <c r="O7" s="8" t="n">
        <f aca="false">SQRT((B7*0.013514)^2+(C7*0.023919)^2+(D7*0.018722)^2+(E7*0.053237)^2+(F7*0.040518)^2+(G7*0.01126)^2)*100</f>
        <v>1.11760379718869</v>
      </c>
      <c r="P7" s="5" t="n">
        <v>0.41309631974627</v>
      </c>
    </row>
    <row r="8" customFormat="false" ht="15" hidden="false" customHeight="false" outlineLevel="0" collapsed="false">
      <c r="A8" s="0" t="s">
        <v>38</v>
      </c>
      <c r="B8" s="2" t="n">
        <v>0.337457757834958</v>
      </c>
      <c r="C8" s="2" t="n">
        <v>0.1987996915095</v>
      </c>
      <c r="D8" s="2" t="n">
        <v>0.228863492953797</v>
      </c>
      <c r="E8" s="2" t="n">
        <v>0.13493654911309</v>
      </c>
      <c r="F8" s="2" t="n">
        <v>0.0536156488817219</v>
      </c>
      <c r="G8" s="2" t="n">
        <v>0.046326859706934</v>
      </c>
      <c r="H8" s="5" t="n">
        <v>0.0967245956976031</v>
      </c>
      <c r="I8" s="5" t="n">
        <v>0.271819648516902</v>
      </c>
      <c r="J8" s="5" t="n">
        <v>0.430147219615871</v>
      </c>
      <c r="K8" s="5" t="n">
        <v>0.740762970648566</v>
      </c>
      <c r="L8" s="5" t="n">
        <v>0.858788866888775</v>
      </c>
      <c r="M8" s="5" t="n">
        <v>0.978742089479658</v>
      </c>
      <c r="N8" s="7" t="n">
        <f aca="false">SUMPRODUCT(B8:G8,H8:M8)</f>
        <v>0.376465691417953</v>
      </c>
      <c r="O8" s="8" t="n">
        <f aca="false">SQRT((B8*0.012501)^2+(C8*0.02058)^2+(D8*0.016349)^2+(E8*0.048734)^2+(F8*0.033327)^2+(G8*0.011598)^2)*100</f>
        <v>0.976014671672678</v>
      </c>
      <c r="P8" s="5" t="n">
        <v>0.39587563368048</v>
      </c>
    </row>
    <row r="9" customFormat="false" ht="15" hidden="false" customHeight="false" outlineLevel="0" collapsed="false">
      <c r="A9" s="0" t="s">
        <v>39</v>
      </c>
      <c r="B9" s="2" t="n">
        <v>0.327715403052857</v>
      </c>
      <c r="C9" s="2" t="n">
        <v>0.199296707455532</v>
      </c>
      <c r="D9" s="2" t="n">
        <v>0.231594550271225</v>
      </c>
      <c r="E9" s="2" t="n">
        <v>0.145502712249275</v>
      </c>
      <c r="F9" s="2" t="n">
        <v>0.0546171313233253</v>
      </c>
      <c r="G9" s="2" t="n">
        <v>0.0412734956477861</v>
      </c>
      <c r="H9" s="5" t="n">
        <v>0.107550636072024</v>
      </c>
      <c r="I9" s="5" t="n">
        <v>0.27936814211875</v>
      </c>
      <c r="J9" s="5" t="n">
        <v>0.448232410518356</v>
      </c>
      <c r="K9" s="5" t="n">
        <v>0.757798222537111</v>
      </c>
      <c r="L9" s="5" t="n">
        <v>0.867318857201636</v>
      </c>
      <c r="M9" s="5" t="n">
        <v>0.982324288681368</v>
      </c>
      <c r="N9" s="7" t="n">
        <f aca="false">SUMPRODUCT(B9:G9,H9:M9)</f>
        <v>0.392907456365568</v>
      </c>
      <c r="O9" s="8" t="n">
        <f aca="false">SQRT((B9*0.012851)^2+(C9*0.020411)^2+(D9*0.016386)^2+(E9*0.052413)^2+(F9*0.031825)^2+(G9*0.012535)^2)*100</f>
        <v>1.04944550814355</v>
      </c>
      <c r="P9" s="5" t="n">
        <v>0.366460706777229</v>
      </c>
    </row>
    <row r="10" customFormat="false" ht="15" hidden="false" customHeight="false" outlineLevel="0" collapsed="false">
      <c r="A10" s="0" t="s">
        <v>40</v>
      </c>
      <c r="B10" s="2" t="n">
        <v>0.333585092590328</v>
      </c>
      <c r="C10" s="2" t="n">
        <v>0.195072653440642</v>
      </c>
      <c r="D10" s="2" t="n">
        <v>0.2289806502116</v>
      </c>
      <c r="E10" s="2" t="n">
        <v>0.147753125076445</v>
      </c>
      <c r="F10" s="2" t="n">
        <v>0.0539457912375547</v>
      </c>
      <c r="G10" s="2" t="n">
        <v>0.0406626874434306</v>
      </c>
      <c r="H10" s="5" t="n">
        <v>0.119428186908099</v>
      </c>
      <c r="I10" s="5" t="n">
        <v>0.287043627027874</v>
      </c>
      <c r="J10" s="5" t="n">
        <v>0.466455568424233</v>
      </c>
      <c r="K10" s="5" t="n">
        <v>0.774055482796952</v>
      </c>
      <c r="L10" s="5" t="n">
        <v>0.875408338845464</v>
      </c>
      <c r="M10" s="5" t="n">
        <v>0.985311905572188</v>
      </c>
      <c r="N10" s="7" t="n">
        <f aca="false">SUMPRODUCT(B10:G10,H10:M10)</f>
        <v>0.40430226622914</v>
      </c>
      <c r="O10" s="8" t="n">
        <f aca="false">SQRT((B10*0.015373)^2+(C10*0.023805)^2+(D10*0.018943)^2+(E10*0.061109)^2+(F10*0.035116)^2+(G10*0.013231)^2)*100</f>
        <v>1.23320229033791</v>
      </c>
      <c r="P10" s="5" t="n">
        <v>0.400798609388746</v>
      </c>
    </row>
    <row r="11" customFormat="false" ht="15" hidden="false" customHeight="false" outlineLevel="0" collapsed="false">
      <c r="A11" s="0" t="s">
        <v>41</v>
      </c>
      <c r="B11" s="2" t="n">
        <v>0.333179844956544</v>
      </c>
      <c r="C11" s="2" t="n">
        <v>0.193004565269418</v>
      </c>
      <c r="D11" s="2" t="n">
        <v>0.229335869930718</v>
      </c>
      <c r="E11" s="2" t="n">
        <v>0.150063162486633</v>
      </c>
      <c r="F11" s="2" t="n">
        <v>0.0536805401983029</v>
      </c>
      <c r="G11" s="2" t="n">
        <v>0.0407360171583849</v>
      </c>
      <c r="H11" s="5" t="n">
        <v>0.132422822144913</v>
      </c>
      <c r="I11" s="5" t="n">
        <v>0.294843711028117</v>
      </c>
      <c r="J11" s="5" t="n">
        <v>0.484768687587884</v>
      </c>
      <c r="K11" s="5" t="n">
        <v>0.78952459580959</v>
      </c>
      <c r="L11" s="5" t="n">
        <v>0.883071103032333</v>
      </c>
      <c r="M11" s="5" t="n">
        <v>0.987800815108713</v>
      </c>
      <c r="N11" s="7" t="n">
        <f aca="false">SUMPRODUCT(B11:G11,H11:M11)</f>
        <v>0.418323008809283</v>
      </c>
      <c r="O11" s="8" t="n">
        <f aca="false">SQRT((B11*0.020165)^2+(C11*0.029816)^2+(D11*0.023243)^2+(E11*0.071671)^2+(F11*0.04092)^2+(G11*0.013498)^2)*100</f>
        <v>1.50821051180277</v>
      </c>
      <c r="P11" s="5" t="n">
        <v>0.414083483737669</v>
      </c>
    </row>
    <row r="12" customFormat="false" ht="15" hidden="false" customHeight="false" outlineLevel="0" collapsed="false">
      <c r="A12" s="0" t="s">
        <v>42</v>
      </c>
      <c r="B12" s="2" t="n">
        <v>0.321768942563021</v>
      </c>
      <c r="C12" s="2" t="n">
        <v>0.189656008633128</v>
      </c>
      <c r="D12" s="2" t="n">
        <v>0.233340002182533</v>
      </c>
      <c r="E12" s="2" t="n">
        <v>0.156942272016296</v>
      </c>
      <c r="F12" s="2" t="n">
        <v>0.056557903798819</v>
      </c>
      <c r="G12" s="2" t="n">
        <v>0.0417348708062032</v>
      </c>
      <c r="H12" s="5" t="n">
        <v>0.146595981100714</v>
      </c>
      <c r="I12" s="5" t="n">
        <v>0.30276574267699</v>
      </c>
      <c r="J12" s="5" t="n">
        <v>0.503122801313745</v>
      </c>
      <c r="K12" s="5" t="n">
        <v>0.804202522846915</v>
      </c>
      <c r="L12" s="5" t="n">
        <v>0.890321630274183</v>
      </c>
      <c r="M12" s="5" t="n">
        <v>0.989872311904282</v>
      </c>
      <c r="N12" s="7" t="n">
        <f aca="false">SUMPRODUCT(B12:G12,H12:M12)</f>
        <v>0.439870340950209</v>
      </c>
      <c r="O12" s="8" t="n">
        <f aca="false">SQRT((B12*0.026901)^2+(C12*0.037398)^2+(D12*0.028492)^2+(E12*0.082324)^2+(F12*0.047503)^2+(G12*0.013367)^2)*100</f>
        <v>1.85442955980923</v>
      </c>
      <c r="P12" s="5" t="n">
        <v>0.44873335707738</v>
      </c>
    </row>
    <row r="13" customFormat="false" ht="15" hidden="false" customHeight="false" outlineLevel="0" collapsed="false">
      <c r="A13" s="0" t="s">
        <v>43</v>
      </c>
      <c r="B13" s="2" t="n">
        <v>0.321768942563021</v>
      </c>
      <c r="C13" s="2" t="n">
        <v>0.189656008633128</v>
      </c>
      <c r="D13" s="2" t="n">
        <v>0.233340002182533</v>
      </c>
      <c r="E13" s="2" t="n">
        <v>0.156942272016296</v>
      </c>
      <c r="F13" s="2" t="n">
        <v>0.056557903798819</v>
      </c>
      <c r="G13" s="2" t="n">
        <v>0.0417348708062032</v>
      </c>
      <c r="H13" s="5" t="n">
        <v>0.162002827493082</v>
      </c>
      <c r="I13" s="5" t="n">
        <v>0.310806810008055</v>
      </c>
      <c r="J13" s="5" t="n">
        <v>0.521468502656956</v>
      </c>
      <c r="K13" s="5" t="n">
        <v>0.818092692369169</v>
      </c>
      <c r="L13" s="5" t="n">
        <v>0.89717491729657</v>
      </c>
      <c r="M13" s="5" t="n">
        <v>0.991595048752448</v>
      </c>
      <c r="N13" s="7" t="n">
        <f aca="false">SUMPRODUCT(B13:G13,H13:M13)</f>
        <v>0.45327306886016</v>
      </c>
      <c r="O13" s="8" t="n">
        <f aca="false">SQRT((B13*0.035312)^2+(C13*0.045935)^2+(D13*0.034198)^2+(E13*0.092226)^2+(F13*0.053987)^2+(G13*0.012926)^2)*100</f>
        <v>2.20859762044224</v>
      </c>
      <c r="P13" s="5"/>
    </row>
    <row r="14" customFormat="false" ht="15" hidden="false" customHeight="false" outlineLevel="0" collapsed="false">
      <c r="A14" s="0" t="s">
        <v>44</v>
      </c>
      <c r="B14" s="2" t="n">
        <v>0.321768942563021</v>
      </c>
      <c r="C14" s="2" t="n">
        <v>0.189656008633128</v>
      </c>
      <c r="D14" s="2" t="n">
        <v>0.233340002182533</v>
      </c>
      <c r="E14" s="2" t="n">
        <v>0.156942272016296</v>
      </c>
      <c r="F14" s="2" t="n">
        <v>0.056557903798819</v>
      </c>
      <c r="G14" s="2" t="n">
        <v>0.0417348708062032</v>
      </c>
      <c r="H14" s="5" t="n">
        <v>0.178689852552716</v>
      </c>
      <c r="I14" s="5" t="n">
        <v>0.318963740251017</v>
      </c>
      <c r="J14" s="5" t="n">
        <v>0.539756475135138</v>
      </c>
      <c r="K14" s="5" t="n">
        <v>0.83120429767063</v>
      </c>
      <c r="L14" s="5" t="n">
        <v>0.903646319053514</v>
      </c>
      <c r="M14" s="5" t="n">
        <v>0.993026809487272</v>
      </c>
      <c r="N14" s="7" t="n">
        <f aca="false">SUMPRODUCT(B14:G14,H14:M14)</f>
        <v>0.466940290031772</v>
      </c>
      <c r="O14" s="8" t="n">
        <f aca="false">SQRT((B14*0.045251)^2+(C14*0.055114)^2+(D14*0.040085)^2+(E14*0.100997)^2+(F14*0.059977)^2+(G14*0.012264)^2)*100</f>
        <v>2.5918399367374</v>
      </c>
      <c r="P14" s="5"/>
    </row>
    <row r="16" customFormat="false" ht="15" hidden="false" customHeight="false" outlineLevel="0" collapsed="false">
      <c r="A16" s="4" t="s">
        <v>63</v>
      </c>
    </row>
    <row r="17" customFormat="false" ht="15" hidden="false" customHeight="false" outlineLevel="0" collapsed="false">
      <c r="A17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3"/>
  </cols>
  <sheetData>
    <row r="1" customFormat="false" ht="48" hidden="false" customHeight="true" outlineLevel="0" collapsed="false">
      <c r="A1" s="1" t="s">
        <v>18</v>
      </c>
      <c r="B1" s="1" t="s">
        <v>0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</row>
    <row r="2" customFormat="false" ht="15" hidden="false" customHeight="false" outlineLevel="0" collapsed="false">
      <c r="A2" s="0" t="s">
        <v>29</v>
      </c>
      <c r="B2" s="0" t="s">
        <v>8</v>
      </c>
      <c r="C2" s="5" t="n">
        <v>0.0500650485813777</v>
      </c>
      <c r="D2" s="2" t="n">
        <v>-2.25552298072222</v>
      </c>
      <c r="E2" s="2" t="n">
        <v>-1.06108530551271</v>
      </c>
      <c r="F2" s="2" t="n">
        <v>-1.95389171371362</v>
      </c>
      <c r="G2" s="7" t="n">
        <f aca="false">1/(1+EXP(-D2))</f>
        <v>0.0948741274638457</v>
      </c>
      <c r="H2" s="7" t="n">
        <f aca="false">1/(1+EXP(-(D2+E2)))</f>
        <v>0.0350058014416548</v>
      </c>
      <c r="I2" s="7" t="n">
        <f aca="false">1/(1+EXP(-(D2+F2)))</f>
        <v>0.0146376178443404</v>
      </c>
      <c r="J2" s="9" t="n">
        <v>108985</v>
      </c>
      <c r="K2" s="5" t="n">
        <v>0.295251640133963</v>
      </c>
      <c r="L2" s="5" t="n">
        <v>0</v>
      </c>
      <c r="M2" s="5" t="n">
        <v>0.817688911295817</v>
      </c>
      <c r="N2" s="5" t="n">
        <v>0.182311088704183</v>
      </c>
      <c r="O2" s="7" t="n">
        <f aca="false">G2</f>
        <v>0.0948741274638457</v>
      </c>
      <c r="P2" s="7" t="n">
        <f aca="false">L2*G2+M2*H2+N2*I2</f>
        <v>0.0312924557151018</v>
      </c>
      <c r="Q2" s="7" t="n">
        <f aca="false">K2*O2+(1-K2)*P2</f>
        <v>0.0500650485813777</v>
      </c>
      <c r="R2" s="7" t="n">
        <f aca="false">Q2-C2</f>
        <v>0</v>
      </c>
      <c r="S2" s="10" t="n">
        <f aca="false">J2*Q2</f>
        <v>5456.33931964145</v>
      </c>
    </row>
    <row r="3" customFormat="false" ht="15" hidden="false" customHeight="false" outlineLevel="0" collapsed="false">
      <c r="A3" s="0" t="s">
        <v>29</v>
      </c>
      <c r="B3" s="0" t="s">
        <v>9</v>
      </c>
      <c r="C3" s="5" t="n">
        <v>0.229297560524246</v>
      </c>
      <c r="D3" s="2" t="n">
        <v>-0.722970371017583</v>
      </c>
      <c r="E3" s="2" t="n">
        <v>-1.06108530551271</v>
      </c>
      <c r="F3" s="2" t="n">
        <v>-1.95389171371362</v>
      </c>
      <c r="G3" s="7" t="n">
        <f aca="false">1/(1+EXP(-D3))</f>
        <v>0.326739222651269</v>
      </c>
      <c r="H3" s="7" t="n">
        <f aca="false">1/(1+EXP(-(D3+E3)))</f>
        <v>0.143803062293471</v>
      </c>
      <c r="I3" s="7" t="n">
        <f aca="false">1/(1+EXP(-(D3+F3)))</f>
        <v>0.0643525562929344</v>
      </c>
      <c r="J3" s="9" t="n">
        <v>72493</v>
      </c>
      <c r="K3" s="5" t="n">
        <v>0.072903590691515</v>
      </c>
      <c r="L3" s="5" t="n">
        <v>0.443572850268156</v>
      </c>
      <c r="M3" s="5" t="n">
        <v>0.514722137092222</v>
      </c>
      <c r="N3" s="5" t="n">
        <v>0.0417050126396217</v>
      </c>
      <c r="O3" s="7" t="n">
        <f aca="false">G3</f>
        <v>0.326739222651269</v>
      </c>
      <c r="P3" s="7" t="n">
        <f aca="false">L3*G3+M3*H3+N3*I3</f>
        <v>0.221635092003515</v>
      </c>
      <c r="Q3" s="7" t="n">
        <f aca="false">K3*O3+(1-K3)*P3</f>
        <v>0.229297560524246</v>
      </c>
      <c r="R3" s="7" t="n">
        <f aca="false">Q3-C3</f>
        <v>0</v>
      </c>
      <c r="S3" s="10" t="n">
        <f aca="false">J3*Q3</f>
        <v>16622.4680550842</v>
      </c>
    </row>
    <row r="4" customFormat="false" ht="15" hidden="false" customHeight="false" outlineLevel="0" collapsed="false">
      <c r="A4" s="0" t="s">
        <v>29</v>
      </c>
      <c r="B4" s="0" t="s">
        <v>10</v>
      </c>
      <c r="C4" s="5" t="n">
        <v>0.326982788889513</v>
      </c>
      <c r="D4" s="2" t="n">
        <v>-0.166832406933472</v>
      </c>
      <c r="E4" s="2" t="n">
        <v>-1.06108530551271</v>
      </c>
      <c r="F4" s="2" t="n">
        <v>-1.95389171371362</v>
      </c>
      <c r="G4" s="7" t="n">
        <f aca="false">1/(1+EXP(-D4))</f>
        <v>0.458388368416697</v>
      </c>
      <c r="H4" s="7" t="n">
        <f aca="false">1/(1+EXP(-(D4+E4)))</f>
        <v>0.226546082538058</v>
      </c>
      <c r="I4" s="7" t="n">
        <f aca="false">1/(1+EXP(-(D4+F4)))</f>
        <v>0.107098804102615</v>
      </c>
      <c r="J4" s="9" t="n">
        <v>72000</v>
      </c>
      <c r="K4" s="5" t="n">
        <v>0.338513888888889</v>
      </c>
      <c r="L4" s="5" t="n">
        <v>0.165399111259725</v>
      </c>
      <c r="M4" s="5" t="n">
        <v>0.791433027768422</v>
      </c>
      <c r="N4" s="5" t="n">
        <v>0.0431678609718524</v>
      </c>
      <c r="O4" s="7" t="n">
        <f aca="false">G4</f>
        <v>0.458388368416697</v>
      </c>
      <c r="P4" s="7" t="n">
        <f aca="false">L4*G4+M4*H4+N4*I4</f>
        <v>0.259736307065841</v>
      </c>
      <c r="Q4" s="7" t="n">
        <f aca="false">K4*O4+(1-K4)*P4</f>
        <v>0.326982788889513</v>
      </c>
      <c r="R4" s="7" t="n">
        <f aca="false">Q4-C4</f>
        <v>0</v>
      </c>
      <c r="S4" s="10" t="n">
        <f aca="false">J4*Q4</f>
        <v>23542.760800045</v>
      </c>
    </row>
    <row r="5" customFormat="false" ht="15" hidden="false" customHeight="false" outlineLevel="0" collapsed="false">
      <c r="A5" s="0" t="s">
        <v>29</v>
      </c>
      <c r="B5" s="0" t="s">
        <v>11</v>
      </c>
      <c r="C5" s="5" t="n">
        <v>0.623795397628428</v>
      </c>
      <c r="D5" s="2" t="n">
        <v>0.632220701554972</v>
      </c>
      <c r="E5" s="2" t="n">
        <v>-1.06108530551271</v>
      </c>
      <c r="F5" s="2" t="n">
        <v>-1.95389171371362</v>
      </c>
      <c r="G5" s="7" t="n">
        <f aca="false">1/(1+EXP(-D5))</f>
        <v>0.652992828864383</v>
      </c>
      <c r="H5" s="7" t="n">
        <f aca="false">1/(1+EXP(-(D5+E5)))</f>
        <v>0.39439748622524</v>
      </c>
      <c r="I5" s="7" t="n">
        <f aca="false">1/(1+EXP(-(D5+F5)))</f>
        <v>0.210540414942935</v>
      </c>
      <c r="J5" s="9" t="n">
        <v>49190</v>
      </c>
      <c r="K5" s="5" t="n">
        <v>0.694307786135393</v>
      </c>
      <c r="L5" s="5" t="n">
        <v>0.63064875416751</v>
      </c>
      <c r="M5" s="5" t="n">
        <v>0.36935124583249</v>
      </c>
      <c r="N5" s="5" t="n">
        <v>0</v>
      </c>
      <c r="O5" s="7" t="n">
        <f aca="false">G5</f>
        <v>0.652992828864383</v>
      </c>
      <c r="P5" s="7" t="n">
        <f aca="false">L5*G5+M5*H5+N5*I5</f>
        <v>0.557480316894136</v>
      </c>
      <c r="Q5" s="7" t="n">
        <f aca="false">K5*O5+(1-K5)*P5</f>
        <v>0.623795397628428</v>
      </c>
      <c r="R5" s="7" t="n">
        <f aca="false">Q5-C5</f>
        <v>0</v>
      </c>
      <c r="S5" s="10" t="n">
        <f aca="false">J5*Q5</f>
        <v>30684.4956093424</v>
      </c>
    </row>
    <row r="6" customFormat="false" ht="15" hidden="false" customHeight="false" outlineLevel="0" collapsed="false">
      <c r="A6" s="0" t="s">
        <v>29</v>
      </c>
      <c r="B6" s="0" t="s">
        <v>12</v>
      </c>
      <c r="C6" s="5" t="n">
        <v>0.7977226850192</v>
      </c>
      <c r="D6" s="2" t="n">
        <v>1.53143864690459</v>
      </c>
      <c r="E6" s="2" t="n">
        <v>-1.06108530551271</v>
      </c>
      <c r="F6" s="2" t="n">
        <v>-1.95389171371362</v>
      </c>
      <c r="G6" s="7" t="n">
        <f aca="false">1/(1+EXP(-D6))</f>
        <v>0.822216707922255</v>
      </c>
      <c r="H6" s="7" t="n">
        <f aca="false">1/(1+EXP(-(D6+E6)))</f>
        <v>0.615467384149533</v>
      </c>
      <c r="I6" s="7" t="n">
        <f aca="false">1/(1+EXP(-(D6+F6)))</f>
        <v>0.39592990205961</v>
      </c>
      <c r="J6" s="9" t="n">
        <v>16843</v>
      </c>
      <c r="K6" s="5" t="n">
        <v>0.737873300480912</v>
      </c>
      <c r="L6" s="5" t="n">
        <v>0.548035043644866</v>
      </c>
      <c r="M6" s="5" t="n">
        <v>0.451964956355134</v>
      </c>
      <c r="N6" s="5" t="n">
        <v>0</v>
      </c>
      <c r="O6" s="7" t="n">
        <f aca="false">G6</f>
        <v>0.822216707922255</v>
      </c>
      <c r="P6" s="7" t="n">
        <f aca="false">L6*G6+M6*H6+N6*I6</f>
        <v>0.728773258826864</v>
      </c>
      <c r="Q6" s="7" t="n">
        <f aca="false">K6*O6+(1-K6)*P6</f>
        <v>0.7977226850192</v>
      </c>
      <c r="R6" s="7" t="n">
        <f aca="false">Q6-C6</f>
        <v>0</v>
      </c>
      <c r="S6" s="10" t="n">
        <f aca="false">J6*Q6</f>
        <v>13436.0431837784</v>
      </c>
    </row>
    <row r="7" customFormat="false" ht="15" hidden="false" customHeight="false" outlineLevel="0" collapsed="false">
      <c r="A7" s="0" t="s">
        <v>29</v>
      </c>
      <c r="B7" s="0" t="s">
        <v>13</v>
      </c>
      <c r="C7" s="5" t="n">
        <v>0.937049851548038</v>
      </c>
      <c r="D7" s="2" t="n">
        <v>2.85591260154741</v>
      </c>
      <c r="E7" s="2" t="n">
        <v>-1.06108530551271</v>
      </c>
      <c r="F7" s="2" t="n">
        <v>-1.95389171371362</v>
      </c>
      <c r="G7" s="7" t="n">
        <f aca="false">1/(1+EXP(-D7))</f>
        <v>0.945623509178095</v>
      </c>
      <c r="H7" s="7" t="n">
        <f aca="false">1/(1+EXP(-(D7+E7)))</f>
        <v>0.857518097977063</v>
      </c>
      <c r="I7" s="7" t="n">
        <f aca="false">1/(1+EXP(-(D7+F7)))</f>
        <v>0.711364618588547</v>
      </c>
      <c r="J7" s="9" t="n">
        <v>13207</v>
      </c>
      <c r="K7" s="5" t="n">
        <v>0.841977739077762</v>
      </c>
      <c r="L7" s="5" t="n">
        <v>0.384192061377789</v>
      </c>
      <c r="M7" s="5" t="n">
        <v>0.615807938622212</v>
      </c>
      <c r="N7" s="5" t="n">
        <v>0</v>
      </c>
      <c r="O7" s="7" t="n">
        <f aca="false">G7</f>
        <v>0.945623509178095</v>
      </c>
      <c r="P7" s="7" t="n">
        <f aca="false">L7*G7+M7*H7+N7*I7</f>
        <v>0.891367497524926</v>
      </c>
      <c r="Q7" s="7" t="n">
        <f aca="false">K7*O7+(1-K7)*P7</f>
        <v>0.937049851548038</v>
      </c>
      <c r="R7" s="7" t="n">
        <f aca="false">Q7-C7</f>
        <v>0</v>
      </c>
      <c r="S7" s="10" t="n">
        <f aca="false">J7*Q7</f>
        <v>12375.6173893949</v>
      </c>
    </row>
    <row r="8" customFormat="false" ht="15" hidden="false" customHeight="false" outlineLevel="0" collapsed="false">
      <c r="A8" s="0" t="s">
        <v>31</v>
      </c>
      <c r="B8" s="0" t="s">
        <v>8</v>
      </c>
      <c r="C8" s="5" t="n">
        <v>0.0559923808942897</v>
      </c>
      <c r="D8" s="2" t="n">
        <v>-2.13500754949374</v>
      </c>
      <c r="E8" s="2" t="n">
        <v>-1.06108530551271</v>
      </c>
      <c r="F8" s="2" t="n">
        <v>-1.95389171371362</v>
      </c>
      <c r="G8" s="7" t="n">
        <f aca="false">1/(1+EXP(-D8))</f>
        <v>0.105740544692657</v>
      </c>
      <c r="H8" s="7" t="n">
        <f aca="false">1/(1+EXP(-(D8+E8)))</f>
        <v>0.0393130206035759</v>
      </c>
      <c r="I8" s="7" t="n">
        <f aca="false">1/(1+EXP(-(D8+F8)))</f>
        <v>0.0164814780366132</v>
      </c>
      <c r="J8" s="9" t="n">
        <v>108985</v>
      </c>
      <c r="K8" s="5" t="n">
        <v>0.295251640133963</v>
      </c>
      <c r="L8" s="5" t="n">
        <v>0</v>
      </c>
      <c r="M8" s="5" t="n">
        <v>0.817688911295817</v>
      </c>
      <c r="N8" s="5" t="n">
        <v>0.182311088704183</v>
      </c>
      <c r="O8" s="7" t="n">
        <f aca="false">G8</f>
        <v>0.105740544692657</v>
      </c>
      <c r="P8" s="7" t="n">
        <f aca="false">L8*G8+M8*H8+N8*I8</f>
        <v>0.035150577221397</v>
      </c>
      <c r="Q8" s="7" t="n">
        <f aca="false">K8*O8+(1-K8)*P8</f>
        <v>0.0559923808942895</v>
      </c>
      <c r="R8" s="7" t="n">
        <f aca="false">Q8-C8</f>
        <v>0</v>
      </c>
      <c r="S8" s="10" t="n">
        <f aca="false">J8*Q8</f>
        <v>6102.32963176414</v>
      </c>
    </row>
    <row r="9" customFormat="false" ht="15" hidden="false" customHeight="false" outlineLevel="0" collapsed="false">
      <c r="A9" s="0" t="s">
        <v>31</v>
      </c>
      <c r="B9" s="0" t="s">
        <v>9</v>
      </c>
      <c r="C9" s="5" t="n">
        <v>0.236047991462622</v>
      </c>
      <c r="D9" s="2" t="n">
        <v>-0.683071928489798</v>
      </c>
      <c r="E9" s="2" t="n">
        <v>-1.06108530551271</v>
      </c>
      <c r="F9" s="2" t="n">
        <v>-1.95389171371362</v>
      </c>
      <c r="G9" s="7" t="n">
        <f aca="false">1/(1+EXP(-D9))</f>
        <v>0.335576025214076</v>
      </c>
      <c r="H9" s="7" t="n">
        <f aca="false">1/(1+EXP(-(D9+E9)))</f>
        <v>0.148785658031909</v>
      </c>
      <c r="I9" s="7" t="n">
        <f aca="false">1/(1+EXP(-(D9+F9)))</f>
        <v>0.0667970588026008</v>
      </c>
      <c r="J9" s="9" t="n">
        <v>72493</v>
      </c>
      <c r="K9" s="5" t="n">
        <v>0.072903590691515</v>
      </c>
      <c r="L9" s="5" t="n">
        <v>0.443572850268156</v>
      </c>
      <c r="M9" s="5" t="n">
        <v>0.514722137092222</v>
      </c>
      <c r="N9" s="5" t="n">
        <v>0.0417050126396217</v>
      </c>
      <c r="O9" s="7" t="n">
        <f aca="false">G9</f>
        <v>0.335576025214076</v>
      </c>
      <c r="P9" s="7" t="n">
        <f aca="false">L9*G9+M9*H9+N9*I9</f>
        <v>0.228221458038375</v>
      </c>
      <c r="Q9" s="7" t="n">
        <f aca="false">K9*O9+(1-K9)*P9</f>
        <v>0.236047991462617</v>
      </c>
      <c r="R9" s="7" t="n">
        <f aca="false">Q9-C9</f>
        <v>-4.71844785465692E-015</v>
      </c>
      <c r="S9" s="10" t="n">
        <f aca="false">J9*Q9</f>
        <v>17111.8270450995</v>
      </c>
    </row>
    <row r="10" customFormat="false" ht="15" hidden="false" customHeight="false" outlineLevel="0" collapsed="false">
      <c r="A10" s="0" t="s">
        <v>31</v>
      </c>
      <c r="B10" s="0" t="s">
        <v>10</v>
      </c>
      <c r="C10" s="5" t="n">
        <v>0.343343895344869</v>
      </c>
      <c r="D10" s="2" t="n">
        <v>-0.0881841475221696</v>
      </c>
      <c r="E10" s="2" t="n">
        <v>-1.06108530551271</v>
      </c>
      <c r="F10" s="2" t="n">
        <v>-1.95389171371362</v>
      </c>
      <c r="G10" s="7" t="n">
        <f aca="false">1/(1+EXP(-D10))</f>
        <v>0.477968238665633</v>
      </c>
      <c r="H10" s="7" t="n">
        <f aca="false">1/(1+EXP(-(D10+E10)))</f>
        <v>0.240622545734186</v>
      </c>
      <c r="I10" s="7" t="n">
        <f aca="false">1/(1+EXP(-(D10+F10)))</f>
        <v>0.114855523458022</v>
      </c>
      <c r="J10" s="9" t="n">
        <v>72000</v>
      </c>
      <c r="K10" s="5" t="n">
        <v>0.338513888888889</v>
      </c>
      <c r="L10" s="5" t="n">
        <v>0.165399111259725</v>
      </c>
      <c r="M10" s="5" t="n">
        <v>0.791433027768422</v>
      </c>
      <c r="N10" s="5" t="n">
        <v>0.0431678609718524</v>
      </c>
      <c r="O10" s="7" t="n">
        <f aca="false">G10</f>
        <v>0.477968238665633</v>
      </c>
      <c r="P10" s="7" t="n">
        <f aca="false">L10*G10+M10*H10+N10*I10</f>
        <v>0.27445021907391</v>
      </c>
      <c r="Q10" s="7" t="n">
        <f aca="false">K10*O10+(1-K10)*P10</f>
        <v>0.343343895344869</v>
      </c>
      <c r="R10" s="7" t="n">
        <f aca="false">Q10-C10</f>
        <v>0</v>
      </c>
      <c r="S10" s="10" t="n">
        <f aca="false">J10*Q10</f>
        <v>24720.7604648306</v>
      </c>
    </row>
    <row r="11" customFormat="false" ht="15" hidden="false" customHeight="false" outlineLevel="0" collapsed="false">
      <c r="A11" s="0" t="s">
        <v>31</v>
      </c>
      <c r="B11" s="0" t="s">
        <v>11</v>
      </c>
      <c r="C11" s="5" t="n">
        <v>0.644831650933101</v>
      </c>
      <c r="D11" s="2" t="n">
        <v>0.725610536924963</v>
      </c>
      <c r="E11" s="2" t="n">
        <v>-1.06108530551271</v>
      </c>
      <c r="F11" s="2" t="n">
        <v>-1.95389171371362</v>
      </c>
      <c r="G11" s="7" t="n">
        <f aca="false">1/(1+EXP(-D11))</f>
        <v>0.673841297012663</v>
      </c>
      <c r="H11" s="7" t="n">
        <f aca="false">1/(1+EXP(-(D11+E11)))</f>
        <v>0.416909126947452</v>
      </c>
      <c r="I11" s="7" t="n">
        <f aca="false">1/(1+EXP(-(D11+F11)))</f>
        <v>0.226482401571924</v>
      </c>
      <c r="J11" s="9" t="n">
        <v>49190</v>
      </c>
      <c r="K11" s="5" t="n">
        <v>0.694307786135393</v>
      </c>
      <c r="L11" s="5" t="n">
        <v>0.63064875416751</v>
      </c>
      <c r="M11" s="5" t="n">
        <v>0.36935124583249</v>
      </c>
      <c r="N11" s="5" t="n">
        <v>0</v>
      </c>
      <c r="O11" s="7" t="n">
        <f aca="false">G11</f>
        <v>0.673841297012663</v>
      </c>
      <c r="P11" s="7" t="n">
        <f aca="false">L11*G11+M11*H11+N11*I11</f>
        <v>0.578943079904632</v>
      </c>
      <c r="Q11" s="7" t="n">
        <f aca="false">K11*O11+(1-K11)*P11</f>
        <v>0.644831650933105</v>
      </c>
      <c r="R11" s="7" t="n">
        <f aca="false">Q11-C11</f>
        <v>3.99680288865056E-015</v>
      </c>
      <c r="S11" s="10" t="n">
        <f aca="false">J11*Q11</f>
        <v>31719.2689093994</v>
      </c>
    </row>
    <row r="12" customFormat="false" ht="15" hidden="false" customHeight="false" outlineLevel="0" collapsed="false">
      <c r="A12" s="0" t="s">
        <v>31</v>
      </c>
      <c r="B12" s="0" t="s">
        <v>12</v>
      </c>
      <c r="C12" s="5" t="n">
        <v>0.809121553995846</v>
      </c>
      <c r="D12" s="2" t="n">
        <v>1.60565967876733</v>
      </c>
      <c r="E12" s="2" t="n">
        <v>-1.06108530551271</v>
      </c>
      <c r="F12" s="2" t="n">
        <v>-1.95389171371362</v>
      </c>
      <c r="G12" s="7" t="n">
        <f aca="false">1/(1+EXP(-D12))</f>
        <v>0.832807917567909</v>
      </c>
      <c r="H12" s="7" t="n">
        <f aca="false">1/(1+EXP(-(D12+E12)))</f>
        <v>0.632875890454952</v>
      </c>
      <c r="I12" s="7" t="n">
        <f aca="false">1/(1+EXP(-(D12+F12)))</f>
        <v>0.413811213554926</v>
      </c>
      <c r="J12" s="9" t="n">
        <v>16843</v>
      </c>
      <c r="K12" s="5" t="n">
        <v>0.737873300480912</v>
      </c>
      <c r="L12" s="5" t="n">
        <v>0.548035043644866</v>
      </c>
      <c r="M12" s="5" t="n">
        <v>0.451964956355134</v>
      </c>
      <c r="N12" s="5" t="n">
        <v>0</v>
      </c>
      <c r="O12" s="7" t="n">
        <f aca="false">G12</f>
        <v>0.832807917567909</v>
      </c>
      <c r="P12" s="7" t="n">
        <f aca="false">L12*G12+M12*H12+N12*I12</f>
        <v>0.742445647659808</v>
      </c>
      <c r="Q12" s="7" t="n">
        <f aca="false">K12*O12+(1-K12)*P12</f>
        <v>0.809121553995846</v>
      </c>
      <c r="R12" s="7" t="n">
        <f aca="false">Q12-C12</f>
        <v>0</v>
      </c>
      <c r="S12" s="10" t="n">
        <f aca="false">J12*Q12</f>
        <v>13628.034333952</v>
      </c>
    </row>
    <row r="13" customFormat="false" ht="15" hidden="false" customHeight="false" outlineLevel="0" collapsed="false">
      <c r="A13" s="0" t="s">
        <v>31</v>
      </c>
      <c r="B13" s="0" t="s">
        <v>13</v>
      </c>
      <c r="C13" s="5" t="n">
        <v>0.947279225310769</v>
      </c>
      <c r="D13" s="2" t="n">
        <v>3.04615186939198</v>
      </c>
      <c r="E13" s="2" t="n">
        <v>-1.06108530551271</v>
      </c>
      <c r="F13" s="2" t="n">
        <v>-1.95389171371362</v>
      </c>
      <c r="G13" s="7" t="n">
        <f aca="false">1/(1+EXP(-D13))</f>
        <v>0.954616100687192</v>
      </c>
      <c r="H13" s="7" t="n">
        <f aca="false">1/(1+EXP(-(D13+E13)))</f>
        <v>0.879220225337065</v>
      </c>
      <c r="I13" s="7" t="n">
        <f aca="false">1/(1+EXP(-(D13+F13)))</f>
        <v>0.748807084686379</v>
      </c>
      <c r="J13" s="9" t="n">
        <v>13207</v>
      </c>
      <c r="K13" s="5" t="n">
        <v>0.841977739077762</v>
      </c>
      <c r="L13" s="5" t="n">
        <v>0.384192061377789</v>
      </c>
      <c r="M13" s="5" t="n">
        <v>0.615807938622212</v>
      </c>
      <c r="N13" s="5" t="n">
        <v>0</v>
      </c>
      <c r="O13" s="7" t="n">
        <f aca="false">G13</f>
        <v>0.954616100687192</v>
      </c>
      <c r="P13" s="7" t="n">
        <f aca="false">L13*G13+M13*H13+N13*I13</f>
        <v>0.908186722107213</v>
      </c>
      <c r="Q13" s="7" t="n">
        <f aca="false">K13*O13+(1-K13)*P13</f>
        <v>0.94727922531077</v>
      </c>
      <c r="R13" s="7" t="n">
        <f aca="false">Q13-C13</f>
        <v>0</v>
      </c>
      <c r="S13" s="10" t="n">
        <f aca="false">J13*Q13</f>
        <v>12510.7167286793</v>
      </c>
    </row>
    <row r="14" customFormat="false" ht="15" hidden="false" customHeight="false" outlineLevel="0" collapsed="false">
      <c r="A14" s="0" t="s">
        <v>32</v>
      </c>
      <c r="B14" s="0" t="s">
        <v>8</v>
      </c>
      <c r="C14" s="5" t="n">
        <v>0.0625752389494167</v>
      </c>
      <c r="D14" s="2" t="n">
        <v>-2.01422830222912</v>
      </c>
      <c r="E14" s="2" t="n">
        <v>-1.06108530551271</v>
      </c>
      <c r="F14" s="2" t="n">
        <v>-1.95389171371362</v>
      </c>
      <c r="G14" s="7" t="n">
        <f aca="false">1/(1+EXP(-D14))</f>
        <v>0.117717116857783</v>
      </c>
      <c r="H14" s="7" t="n">
        <f aca="false">1/(1+EXP(-(D14+E14)))</f>
        <v>0.0441371078622863</v>
      </c>
      <c r="I14" s="7" t="n">
        <f aca="false">1/(1+EXP(-(D14+F14)))</f>
        <v>0.018558035332088</v>
      </c>
      <c r="J14" s="9" t="n">
        <v>108985</v>
      </c>
      <c r="K14" s="5" t="n">
        <v>0.295251640133963</v>
      </c>
      <c r="L14" s="5" t="n">
        <v>0</v>
      </c>
      <c r="M14" s="5" t="n">
        <v>0.817688911295817</v>
      </c>
      <c r="N14" s="5" t="n">
        <v>0.182311088704183</v>
      </c>
      <c r="O14" s="7" t="n">
        <f aca="false">G14</f>
        <v>0.117717116857783</v>
      </c>
      <c r="P14" s="7" t="n">
        <f aca="false">L14*G14+M14*H14+N14*I14</f>
        <v>0.0394737593012626</v>
      </c>
      <c r="Q14" s="7" t="n">
        <f aca="false">K14*O14+(1-K14)*P14</f>
        <v>0.0625752389494133</v>
      </c>
      <c r="R14" s="7" t="n">
        <f aca="false">Q14-C14</f>
        <v>-3.44169137633799E-015</v>
      </c>
      <c r="S14" s="10" t="n">
        <f aca="false">J14*Q14</f>
        <v>6819.76241690181</v>
      </c>
    </row>
    <row r="15" customFormat="false" ht="15" hidden="false" customHeight="false" outlineLevel="0" collapsed="false">
      <c r="A15" s="0" t="s">
        <v>32</v>
      </c>
      <c r="B15" s="0" t="s">
        <v>9</v>
      </c>
      <c r="C15" s="5" t="n">
        <v>0.242934510398897</v>
      </c>
      <c r="D15" s="2" t="n">
        <v>-0.643123514406918</v>
      </c>
      <c r="E15" s="2" t="n">
        <v>-1.06108530551271</v>
      </c>
      <c r="F15" s="2" t="n">
        <v>-1.95389171371362</v>
      </c>
      <c r="G15" s="7" t="n">
        <f aca="false">1/(1+EXP(-D15))</f>
        <v>0.344540806401161</v>
      </c>
      <c r="H15" s="7" t="n">
        <f aca="false">1/(1+EXP(-(D15+E15)))</f>
        <v>0.153916368081685</v>
      </c>
      <c r="I15" s="7" t="n">
        <f aca="false">1/(1+EXP(-(D15+F15)))</f>
        <v>0.0693307623985494</v>
      </c>
      <c r="J15" s="9" t="n">
        <v>72493</v>
      </c>
      <c r="K15" s="5" t="n">
        <v>0.072903590691515</v>
      </c>
      <c r="L15" s="5" t="n">
        <v>0.443572850268156</v>
      </c>
      <c r="M15" s="5" t="n">
        <v>0.514722137092222</v>
      </c>
      <c r="N15" s="5" t="n">
        <v>0.0417050126396217</v>
      </c>
      <c r="O15" s="7" t="n">
        <f aca="false">G15</f>
        <v>0.344540806401161</v>
      </c>
      <c r="P15" s="7" t="n">
        <f aca="false">L15*G15+M15*H15+N15*I15</f>
        <v>0.234944549763676</v>
      </c>
      <c r="Q15" s="7" t="n">
        <f aca="false">K15*O15+(1-K15)*P15</f>
        <v>0.242934510398897</v>
      </c>
      <c r="R15" s="7" t="n">
        <f aca="false">Q15-C15</f>
        <v>0</v>
      </c>
      <c r="S15" s="10" t="n">
        <f aca="false">J15*Q15</f>
        <v>17611.0514623473</v>
      </c>
    </row>
    <row r="16" customFormat="false" ht="15" hidden="false" customHeight="false" outlineLevel="0" collapsed="false">
      <c r="A16" s="0" t="s">
        <v>32</v>
      </c>
      <c r="B16" s="0" t="s">
        <v>10</v>
      </c>
      <c r="C16" s="5" t="n">
        <v>0.360085649880129</v>
      </c>
      <c r="D16" s="2" t="n">
        <v>-0.00939783789410299</v>
      </c>
      <c r="E16" s="2" t="n">
        <v>-1.06108530551271</v>
      </c>
      <c r="F16" s="2" t="n">
        <v>-1.95389171371362</v>
      </c>
      <c r="G16" s="7" t="n">
        <f aca="false">1/(1+EXP(-D16))</f>
        <v>0.497650557818217</v>
      </c>
      <c r="H16" s="7" t="n">
        <f aca="false">1/(1+EXP(-(D16+E16)))</f>
        <v>0.255311214514578</v>
      </c>
      <c r="I16" s="7" t="n">
        <f aca="false">1/(1+EXP(-(D16+F16)))</f>
        <v>0.123111483364192</v>
      </c>
      <c r="J16" s="9" t="n">
        <v>72000</v>
      </c>
      <c r="K16" s="5" t="n">
        <v>0.338513888888889</v>
      </c>
      <c r="L16" s="5" t="n">
        <v>0.165399111259725</v>
      </c>
      <c r="M16" s="5" t="n">
        <v>0.791433027768422</v>
      </c>
      <c r="N16" s="5" t="n">
        <v>0.0431678609718524</v>
      </c>
      <c r="O16" s="7" t="n">
        <f aca="false">G16</f>
        <v>0.497650557818217</v>
      </c>
      <c r="P16" s="7" t="n">
        <f aca="false">L16*G16+M16*H16+N16*I16</f>
        <v>0.28968714690545</v>
      </c>
      <c r="Q16" s="7" t="n">
        <f aca="false">K16*O16+(1-K16)*P16</f>
        <v>0.360085649880129</v>
      </c>
      <c r="R16" s="7" t="n">
        <f aca="false">Q16-C16</f>
        <v>0</v>
      </c>
      <c r="S16" s="10" t="n">
        <f aca="false">J16*Q16</f>
        <v>25926.1667913693</v>
      </c>
    </row>
    <row r="17" customFormat="false" ht="15" hidden="false" customHeight="false" outlineLevel="0" collapsed="false">
      <c r="A17" s="0" t="s">
        <v>32</v>
      </c>
      <c r="B17" s="0" t="s">
        <v>11</v>
      </c>
      <c r="C17" s="5" t="n">
        <v>0.665322716830775</v>
      </c>
      <c r="D17" s="2" t="n">
        <v>0.819026217071691</v>
      </c>
      <c r="E17" s="2" t="n">
        <v>-1.06108530551271</v>
      </c>
      <c r="F17" s="2" t="n">
        <v>-1.95389171371362</v>
      </c>
      <c r="G17" s="7" t="n">
        <f aca="false">1/(1+EXP(-D17))</f>
        <v>0.694029593932025</v>
      </c>
      <c r="H17" s="7" t="n">
        <f aca="false">1/(1+EXP(-(D17+E17)))</f>
        <v>0.439778983318172</v>
      </c>
      <c r="I17" s="7" t="n">
        <f aca="false">1/(1+EXP(-(D17+F17)))</f>
        <v>0.243264308815906</v>
      </c>
      <c r="J17" s="9" t="n">
        <v>49190</v>
      </c>
      <c r="K17" s="5" t="n">
        <v>0.694307786135393</v>
      </c>
      <c r="L17" s="5" t="n">
        <v>0.63064875416751</v>
      </c>
      <c r="M17" s="5" t="n">
        <v>0.36935124583249</v>
      </c>
      <c r="N17" s="5" t="n">
        <v>0</v>
      </c>
      <c r="O17" s="7" t="n">
        <f aca="false">G17</f>
        <v>0.694029593932025</v>
      </c>
      <c r="P17" s="7" t="n">
        <f aca="false">L17*G17+M17*H17+N17*I17</f>
        <v>0.600121814148127</v>
      </c>
      <c r="Q17" s="7" t="n">
        <f aca="false">K17*O17+(1-K17)*P17</f>
        <v>0.665322716830775</v>
      </c>
      <c r="R17" s="7" t="n">
        <f aca="false">Q17-C17</f>
        <v>0</v>
      </c>
      <c r="S17" s="10" t="n">
        <f aca="false">J17*Q17</f>
        <v>32727.2244409058</v>
      </c>
    </row>
    <row r="18" customFormat="false" ht="15" hidden="false" customHeight="false" outlineLevel="0" collapsed="false">
      <c r="A18" s="0" t="s">
        <v>32</v>
      </c>
      <c r="B18" s="0" t="s">
        <v>12</v>
      </c>
      <c r="C18" s="5" t="n">
        <v>0.820022990520545</v>
      </c>
      <c r="D18" s="2" t="n">
        <v>1.67983030730007</v>
      </c>
      <c r="E18" s="2" t="n">
        <v>-1.06108530551271</v>
      </c>
      <c r="F18" s="2" t="n">
        <v>-1.95389171371362</v>
      </c>
      <c r="G18" s="7" t="n">
        <f aca="false">1/(1+EXP(-D18))</f>
        <v>0.842882059696587</v>
      </c>
      <c r="H18" s="7" t="n">
        <f aca="false">1/(1+EXP(-(D18+E18)))</f>
        <v>0.649933065040785</v>
      </c>
      <c r="I18" s="7" t="n">
        <f aca="false">1/(1+EXP(-(D18+F18)))</f>
        <v>0.431910298669902</v>
      </c>
      <c r="J18" s="9" t="n">
        <v>16843</v>
      </c>
      <c r="K18" s="5" t="n">
        <v>0.737873300480912</v>
      </c>
      <c r="L18" s="5" t="n">
        <v>0.548035043644866</v>
      </c>
      <c r="M18" s="5" t="n">
        <v>0.451964956355134</v>
      </c>
      <c r="N18" s="5" t="n">
        <v>0</v>
      </c>
      <c r="O18" s="7" t="n">
        <f aca="false">G18</f>
        <v>0.842882059696587</v>
      </c>
      <c r="P18" s="7" t="n">
        <f aca="false">L18*G18+M18*H18+N18*I18</f>
        <v>0.75567587574821</v>
      </c>
      <c r="Q18" s="7" t="n">
        <f aca="false">K18*O18+(1-K18)*P18</f>
        <v>0.820022990520545</v>
      </c>
      <c r="R18" s="7" t="n">
        <f aca="false">Q18-C18</f>
        <v>0</v>
      </c>
      <c r="S18" s="10" t="n">
        <f aca="false">J18*Q18</f>
        <v>13811.6472293375</v>
      </c>
    </row>
    <row r="19" customFormat="false" ht="15" hidden="false" customHeight="false" outlineLevel="0" collapsed="false">
      <c r="A19" s="0" t="s">
        <v>32</v>
      </c>
      <c r="B19" s="0" t="s">
        <v>13</v>
      </c>
      <c r="C19" s="5" t="n">
        <v>0.955924517168515</v>
      </c>
      <c r="D19" s="2" t="n">
        <v>3.23610583555718</v>
      </c>
      <c r="E19" s="2" t="n">
        <v>-1.06108530551271</v>
      </c>
      <c r="F19" s="2" t="n">
        <v>-1.95389171371362</v>
      </c>
      <c r="G19" s="7" t="n">
        <f aca="false">1/(1+EXP(-D19))</f>
        <v>0.962170623288659</v>
      </c>
      <c r="H19" s="7" t="n">
        <f aca="false">1/(1+EXP(-(D19+E19)))</f>
        <v>0.897983811560735</v>
      </c>
      <c r="I19" s="7" t="n">
        <f aca="false">1/(1+EXP(-(D19+F19)))</f>
        <v>0.782826433238829</v>
      </c>
      <c r="J19" s="9" t="n">
        <v>13207</v>
      </c>
      <c r="K19" s="5" t="n">
        <v>0.841977739077762</v>
      </c>
      <c r="L19" s="5" t="n">
        <v>0.384192061377789</v>
      </c>
      <c r="M19" s="5" t="n">
        <v>0.615807938622212</v>
      </c>
      <c r="N19" s="5" t="n">
        <v>0</v>
      </c>
      <c r="O19" s="7" t="n">
        <f aca="false">G19</f>
        <v>0.962170623288659</v>
      </c>
      <c r="P19" s="7" t="n">
        <f aca="false">L19*G19+M19*H19+N19*I19</f>
        <v>0.922643875071754</v>
      </c>
      <c r="Q19" s="7" t="n">
        <f aca="false">K19*O19+(1-K19)*P19</f>
        <v>0.955924517168519</v>
      </c>
      <c r="R19" s="7" t="n">
        <f aca="false">Q19-C19</f>
        <v>4.44089209850063E-015</v>
      </c>
      <c r="S19" s="10" t="n">
        <f aca="false">J19*Q19</f>
        <v>12624.8950982446</v>
      </c>
    </row>
    <row r="20" customFormat="false" ht="15" hidden="false" customHeight="false" outlineLevel="0" collapsed="false">
      <c r="A20" s="0" t="s">
        <v>33</v>
      </c>
      <c r="B20" s="0" t="s">
        <v>8</v>
      </c>
      <c r="C20" s="5" t="n">
        <v>0.0698747385857696</v>
      </c>
      <c r="D20" s="2" t="n">
        <v>-1.89316028753762</v>
      </c>
      <c r="E20" s="2" t="n">
        <v>-1.06108530551271</v>
      </c>
      <c r="F20" s="2" t="n">
        <v>-1.95389171371362</v>
      </c>
      <c r="G20" s="7" t="n">
        <f aca="false">1/(1+EXP(-D20))</f>
        <v>0.130884555214291</v>
      </c>
      <c r="H20" s="7" t="n">
        <f aca="false">1/(1+EXP(-(D20+E20)))</f>
        <v>0.0495362361360935</v>
      </c>
      <c r="I20" s="7" t="n">
        <f aca="false">1/(1+EXP(-(D20+F20)))</f>
        <v>0.0208965751896546</v>
      </c>
      <c r="J20" s="9" t="n">
        <v>108985</v>
      </c>
      <c r="K20" s="5" t="n">
        <v>0.295251640133963</v>
      </c>
      <c r="L20" s="5" t="n">
        <v>0</v>
      </c>
      <c r="M20" s="5" t="n">
        <v>0.817688911295817</v>
      </c>
      <c r="N20" s="5" t="n">
        <v>0.182311088704183</v>
      </c>
      <c r="O20" s="7" t="n">
        <f aca="false">G20</f>
        <v>0.130884555214291</v>
      </c>
      <c r="P20" s="7" t="n">
        <f aca="false">L20*G20+M20*H20+N20*I20</f>
        <v>0.0443149083688295</v>
      </c>
      <c r="Q20" s="7" t="n">
        <f aca="false">K20*O20+(1-K20)*P20</f>
        <v>0.06987473858577</v>
      </c>
      <c r="R20" s="7" t="n">
        <f aca="false">Q20-C20</f>
        <v>4.30211422042248E-016</v>
      </c>
      <c r="S20" s="10" t="n">
        <f aca="false">J20*Q20</f>
        <v>7615.29838477015</v>
      </c>
    </row>
    <row r="21" customFormat="false" ht="15" hidden="false" customHeight="false" outlineLevel="0" collapsed="false">
      <c r="A21" s="0" t="s">
        <v>33</v>
      </c>
      <c r="B21" s="0" t="s">
        <v>9</v>
      </c>
      <c r="C21" s="5" t="n">
        <v>0.249956203184227</v>
      </c>
      <c r="D21" s="2" t="n">
        <v>-0.603125036384757</v>
      </c>
      <c r="E21" s="2" t="n">
        <v>-1.06108530551271</v>
      </c>
      <c r="F21" s="2" t="n">
        <v>-1.95389171371362</v>
      </c>
      <c r="G21" s="7" t="n">
        <f aca="false">1/(1+EXP(-D21))</f>
        <v>0.353629060567743</v>
      </c>
      <c r="H21" s="7" t="n">
        <f aca="false">1/(1+EXP(-(D21+E21)))</f>
        <v>0.159197617958592</v>
      </c>
      <c r="I21" s="7" t="n">
        <f aca="false">1/(1+EXP(-(D21+F21)))</f>
        <v>0.0719565057978703</v>
      </c>
      <c r="J21" s="9" t="n">
        <v>72493</v>
      </c>
      <c r="K21" s="5" t="n">
        <v>0.072903590691515</v>
      </c>
      <c r="L21" s="5" t="n">
        <v>0.443572850268156</v>
      </c>
      <c r="M21" s="5" t="n">
        <v>0.514722137092222</v>
      </c>
      <c r="N21" s="5" t="n">
        <v>0.0417050126396217</v>
      </c>
      <c r="O21" s="7" t="n">
        <f aca="false">G21</f>
        <v>0.353629060567743</v>
      </c>
      <c r="P21" s="7" t="n">
        <f aca="false">L21*G21+M21*H21+N21*I21</f>
        <v>0.241803735453125</v>
      </c>
      <c r="Q21" s="7" t="n">
        <f aca="false">K21*O21+(1-K21)*P21</f>
        <v>0.249956203184227</v>
      </c>
      <c r="R21" s="7" t="n">
        <f aca="false">Q21-C21</f>
        <v>0</v>
      </c>
      <c r="S21" s="10" t="n">
        <f aca="false">J21*Q21</f>
        <v>18120.0750374342</v>
      </c>
    </row>
    <row r="22" customFormat="false" ht="15" hidden="false" customHeight="false" outlineLevel="0" collapsed="false">
      <c r="A22" s="0" t="s">
        <v>33</v>
      </c>
      <c r="B22" s="0" t="s">
        <v>10</v>
      </c>
      <c r="C22" s="5" t="n">
        <v>0.377174850408563</v>
      </c>
      <c r="D22" s="2" t="n">
        <v>0.0695148287234551</v>
      </c>
      <c r="E22" s="2" t="n">
        <v>-1.06108530551271</v>
      </c>
      <c r="F22" s="2" t="n">
        <v>-1.95389171371362</v>
      </c>
      <c r="G22" s="7" t="n">
        <f aca="false">1/(1+EXP(-D22))</f>
        <v>0.517371712283909</v>
      </c>
      <c r="H22" s="7" t="n">
        <f aca="false">1/(1+EXP(-(D22+E22)))</f>
        <v>0.270601990705436</v>
      </c>
      <c r="I22" s="7" t="n">
        <f aca="false">1/(1+EXP(-(D22+F22)))</f>
        <v>0.131886943918859</v>
      </c>
      <c r="J22" s="9" t="n">
        <v>72000</v>
      </c>
      <c r="K22" s="5" t="n">
        <v>0.338513888888889</v>
      </c>
      <c r="L22" s="5" t="n">
        <v>0.165399111259725</v>
      </c>
      <c r="M22" s="5" t="n">
        <v>0.791433027768422</v>
      </c>
      <c r="N22" s="5" t="n">
        <v>0.0431678609718524</v>
      </c>
      <c r="O22" s="7" t="n">
        <f aca="false">G22</f>
        <v>0.517371712283909</v>
      </c>
      <c r="P22" s="7" t="n">
        <f aca="false">L22*G22+M22*H22+N22*I22</f>
        <v>0.305429451485938</v>
      </c>
      <c r="Q22" s="7" t="n">
        <f aca="false">K22*O22+(1-K22)*P22</f>
        <v>0.377174850408563</v>
      </c>
      <c r="R22" s="7" t="n">
        <f aca="false">Q22-C22</f>
        <v>0</v>
      </c>
      <c r="S22" s="10" t="n">
        <f aca="false">J22*Q22</f>
        <v>27156.5892294165</v>
      </c>
    </row>
    <row r="23" customFormat="false" ht="15" hidden="false" customHeight="false" outlineLevel="0" collapsed="false">
      <c r="A23" s="0" t="s">
        <v>33</v>
      </c>
      <c r="B23" s="0" t="s">
        <v>11</v>
      </c>
      <c r="C23" s="5" t="n">
        <v>0.68520869891408</v>
      </c>
      <c r="D23" s="2" t="n">
        <v>0.912455837654881</v>
      </c>
      <c r="E23" s="2" t="n">
        <v>-1.06108530551271</v>
      </c>
      <c r="F23" s="2" t="n">
        <v>-1.95389171371362</v>
      </c>
      <c r="G23" s="7" t="n">
        <f aca="false">1/(1+EXP(-D23))</f>
        <v>0.713502440106546</v>
      </c>
      <c r="H23" s="7" t="n">
        <f aca="false">1/(1+EXP(-(D23+E23)))</f>
        <v>0.46291088501114</v>
      </c>
      <c r="I23" s="7" t="n">
        <f aca="false">1/(1+EXP(-(D23+F23)))</f>
        <v>0.260873035694486</v>
      </c>
      <c r="J23" s="9" t="n">
        <v>49190</v>
      </c>
      <c r="K23" s="5" t="n">
        <v>0.694307786135393</v>
      </c>
      <c r="L23" s="5" t="n">
        <v>0.63064875416751</v>
      </c>
      <c r="M23" s="5" t="n">
        <v>0.36935124583249</v>
      </c>
      <c r="N23" s="5" t="n">
        <v>0</v>
      </c>
      <c r="O23" s="7" t="n">
        <f aca="false">G23</f>
        <v>0.713502440106546</v>
      </c>
      <c r="P23" s="7" t="n">
        <f aca="false">L23*G23+M23*H23+N23*I23</f>
        <v>0.620946137036957</v>
      </c>
      <c r="Q23" s="7" t="n">
        <f aca="false">K23*O23+(1-K23)*P23</f>
        <v>0.68520869891408</v>
      </c>
      <c r="R23" s="7" t="n">
        <f aca="false">Q23-C23</f>
        <v>0</v>
      </c>
      <c r="S23" s="10" t="n">
        <f aca="false">J23*Q23</f>
        <v>33705.4158995836</v>
      </c>
    </row>
    <row r="24" customFormat="false" ht="15" hidden="false" customHeight="false" outlineLevel="0" collapsed="false">
      <c r="A24" s="0" t="s">
        <v>33</v>
      </c>
      <c r="B24" s="0" t="s">
        <v>12</v>
      </c>
      <c r="C24" s="5" t="n">
        <v>0.830432303750796</v>
      </c>
      <c r="D24" s="2" t="n">
        <v>1.75394706520823</v>
      </c>
      <c r="E24" s="2" t="n">
        <v>-1.06108530551271</v>
      </c>
      <c r="F24" s="2" t="n">
        <v>-1.95389171371362</v>
      </c>
      <c r="G24" s="7" t="n">
        <f aca="false">1/(1+EXP(-D24))</f>
        <v>0.852449950969572</v>
      </c>
      <c r="H24" s="7" t="n">
        <f aca="false">1/(1+EXP(-(D24+E24)))</f>
        <v>0.666603236790969</v>
      </c>
      <c r="I24" s="7" t="n">
        <f aca="false">1/(1+EXP(-(D24+F24)))</f>
        <v>0.450179703137552</v>
      </c>
      <c r="J24" s="9" t="n">
        <v>16843</v>
      </c>
      <c r="K24" s="5" t="n">
        <v>0.737873300480912</v>
      </c>
      <c r="L24" s="5" t="n">
        <v>0.548035043644866</v>
      </c>
      <c r="M24" s="5" t="n">
        <v>0.451964956355134</v>
      </c>
      <c r="N24" s="5" t="n">
        <v>0</v>
      </c>
      <c r="O24" s="7" t="n">
        <f aca="false">G24</f>
        <v>0.852449950969572</v>
      </c>
      <c r="P24" s="7" t="n">
        <f aca="false">L24*G24+M24*H24+N24*I24</f>
        <v>0.768453748907094</v>
      </c>
      <c r="Q24" s="7" t="n">
        <f aca="false">K24*O24+(1-K24)*P24</f>
        <v>0.830432303750796</v>
      </c>
      <c r="R24" s="7" t="n">
        <f aca="false">Q24-C24</f>
        <v>0</v>
      </c>
      <c r="S24" s="10" t="n">
        <f aca="false">J24*Q24</f>
        <v>13986.9712920747</v>
      </c>
    </row>
    <row r="25" customFormat="false" ht="15" hidden="false" customHeight="false" outlineLevel="0" collapsed="false">
      <c r="A25" s="0" t="s">
        <v>33</v>
      </c>
      <c r="B25" s="0" t="s">
        <v>13</v>
      </c>
      <c r="C25" s="5" t="n">
        <v>0.963207194561255</v>
      </c>
      <c r="D25" s="2" t="n">
        <v>3.42580493739203</v>
      </c>
      <c r="E25" s="2" t="n">
        <v>-1.06108530551271</v>
      </c>
      <c r="F25" s="2" t="n">
        <v>-1.95389171371362</v>
      </c>
      <c r="G25" s="7" t="n">
        <f aca="false">1/(1+EXP(-D25))</f>
        <v>0.968501342324817</v>
      </c>
      <c r="H25" s="7" t="n">
        <f aca="false">1/(1+EXP(-(D25+E25)))</f>
        <v>0.914097132850387</v>
      </c>
      <c r="I25" s="7" t="n">
        <f aca="false">1/(1+EXP(-(D25+F25)))</f>
        <v>0.813348012445723</v>
      </c>
      <c r="J25" s="9" t="n">
        <v>13207</v>
      </c>
      <c r="K25" s="5" t="n">
        <v>0.841977739077762</v>
      </c>
      <c r="L25" s="5" t="n">
        <v>0.384192061377789</v>
      </c>
      <c r="M25" s="5" t="n">
        <v>0.615807938622212</v>
      </c>
      <c r="N25" s="5" t="n">
        <v>0</v>
      </c>
      <c r="O25" s="7" t="n">
        <f aca="false">G25</f>
        <v>0.968501342324817</v>
      </c>
      <c r="P25" s="7" t="n">
        <f aca="false">L25*G25+M25*H25+N25*I25</f>
        <v>0.934998798235997</v>
      </c>
      <c r="Q25" s="7" t="n">
        <f aca="false">K25*O25+(1-K25)*P25</f>
        <v>0.963207194561255</v>
      </c>
      <c r="R25" s="7" t="n">
        <f aca="false">Q25-C25</f>
        <v>0</v>
      </c>
      <c r="S25" s="10" t="n">
        <f aca="false">J25*Q25</f>
        <v>12721.0774185705</v>
      </c>
    </row>
    <row r="26" customFormat="false" ht="15" hidden="false" customHeight="false" outlineLevel="0" collapsed="false">
      <c r="A26" s="0" t="s">
        <v>35</v>
      </c>
      <c r="B26" s="0" t="s">
        <v>8</v>
      </c>
      <c r="C26" s="5" t="n">
        <v>0.0779549269044743</v>
      </c>
      <c r="D26" s="2" t="n">
        <v>-1.77177735520524</v>
      </c>
      <c r="E26" s="2" t="n">
        <v>-1.06108530551271</v>
      </c>
      <c r="F26" s="2" t="n">
        <v>-1.95389171371362</v>
      </c>
      <c r="G26" s="7" t="n">
        <f aca="false">1/(1+EXP(-D26))</f>
        <v>0.145321436690873</v>
      </c>
      <c r="H26" s="7" t="n">
        <f aca="false">1/(1+EXP(-(D26+E26)))</f>
        <v>0.0555739584753319</v>
      </c>
      <c r="I26" s="7" t="n">
        <f aca="false">1/(1+EXP(-(D26+F26)))</f>
        <v>0.0235299714225168</v>
      </c>
      <c r="J26" s="9" t="n">
        <v>108985</v>
      </c>
      <c r="K26" s="5" t="n">
        <v>0.295251640133963</v>
      </c>
      <c r="L26" s="5" t="n">
        <v>0</v>
      </c>
      <c r="M26" s="5" t="n">
        <v>0.817688911295817</v>
      </c>
      <c r="N26" s="5" t="n">
        <v>0.182311088704183</v>
      </c>
      <c r="O26" s="7" t="n">
        <f aca="false">G26</f>
        <v>0.145321436690873</v>
      </c>
      <c r="P26" s="7" t="n">
        <f aca="false">L26*G26+M26*H26+N26*I26</f>
        <v>0.0497319843093104</v>
      </c>
      <c r="Q26" s="7" t="n">
        <f aca="false">K26*O26+(1-K26)*P26</f>
        <v>0.0779549269044743</v>
      </c>
      <c r="R26" s="7" t="n">
        <f aca="false">Q26-C26</f>
        <v>0</v>
      </c>
      <c r="S26" s="10" t="n">
        <f aca="false">J26*Q26</f>
        <v>8495.91770868413</v>
      </c>
    </row>
    <row r="27" customFormat="false" ht="15" hidden="false" customHeight="false" outlineLevel="0" collapsed="false">
      <c r="A27" s="0" t="s">
        <v>35</v>
      </c>
      <c r="B27" s="0" t="s">
        <v>9</v>
      </c>
      <c r="C27" s="5" t="n">
        <v>0.257111922463462</v>
      </c>
      <c r="D27" s="2" t="n">
        <v>-0.563076483725814</v>
      </c>
      <c r="E27" s="2" t="n">
        <v>-1.06108530551271</v>
      </c>
      <c r="F27" s="2" t="n">
        <v>-1.95389171371362</v>
      </c>
      <c r="G27" s="7" t="n">
        <f aca="false">1/(1+EXP(-D27))</f>
        <v>0.362835920008666</v>
      </c>
      <c r="H27" s="7" t="n">
        <f aca="false">1/(1+EXP(-(D27+E27)))</f>
        <v>0.164631708034089</v>
      </c>
      <c r="I27" s="7" t="n">
        <f aca="false">1/(1+EXP(-(D27+F27)))</f>
        <v>0.074677174260283</v>
      </c>
      <c r="J27" s="9" t="n">
        <v>72493</v>
      </c>
      <c r="K27" s="5" t="n">
        <v>0.072903590691515</v>
      </c>
      <c r="L27" s="5" t="n">
        <v>0.443572850268156</v>
      </c>
      <c r="M27" s="5" t="n">
        <v>0.514722137092222</v>
      </c>
      <c r="N27" s="5" t="n">
        <v>0.0417050126396217</v>
      </c>
      <c r="O27" s="7" t="n">
        <f aca="false">G27</f>
        <v>0.362835920008666</v>
      </c>
      <c r="P27" s="7" t="n">
        <f aca="false">L27*G27+M27*H27+N27*I27</f>
        <v>0.248798160306778</v>
      </c>
      <c r="Q27" s="7" t="n">
        <f aca="false">K27*O27+(1-K27)*P27</f>
        <v>0.257111922463462</v>
      </c>
      <c r="R27" s="7" t="n">
        <f aca="false">Q27-C27</f>
        <v>0</v>
      </c>
      <c r="S27" s="10" t="n">
        <f aca="false">J27*Q27</f>
        <v>18638.8145951437</v>
      </c>
    </row>
    <row r="28" customFormat="false" ht="15" hidden="false" customHeight="false" outlineLevel="0" collapsed="false">
      <c r="A28" s="0" t="s">
        <v>35</v>
      </c>
      <c r="B28" s="0" t="s">
        <v>10</v>
      </c>
      <c r="C28" s="5" t="n">
        <v>0.39457499555674</v>
      </c>
      <c r="D28" s="2" t="n">
        <v>0.14854074521407</v>
      </c>
      <c r="E28" s="2" t="n">
        <v>-1.06108530551271</v>
      </c>
      <c r="F28" s="2" t="n">
        <v>-1.95389171371362</v>
      </c>
      <c r="G28" s="7" t="n">
        <f aca="false">1/(1+EXP(-D28))</f>
        <v>0.537067056302434</v>
      </c>
      <c r="H28" s="7" t="n">
        <f aca="false">1/(1+EXP(-(D28+E28)))</f>
        <v>0.28647942384624</v>
      </c>
      <c r="I28" s="7" t="n">
        <f aca="false">1/(1+EXP(-(D28+F28)))</f>
        <v>0.14120094250932</v>
      </c>
      <c r="J28" s="9" t="n">
        <v>72000</v>
      </c>
      <c r="K28" s="5" t="n">
        <v>0.338513888888889</v>
      </c>
      <c r="L28" s="5" t="n">
        <v>0.165399111259725</v>
      </c>
      <c r="M28" s="5" t="n">
        <v>0.791433027768422</v>
      </c>
      <c r="N28" s="5" t="n">
        <v>0.0431678609718524</v>
      </c>
      <c r="O28" s="7" t="n">
        <f aca="false">G28</f>
        <v>0.537067056302434</v>
      </c>
      <c r="P28" s="7" t="n">
        <f aca="false">L28*G28+M28*H28+N28*I28</f>
        <v>0.321655034262619</v>
      </c>
      <c r="Q28" s="7" t="n">
        <f aca="false">K28*O28+(1-K28)*P28</f>
        <v>0.394574995556736</v>
      </c>
      <c r="R28" s="7" t="n">
        <f aca="false">Q28-C28</f>
        <v>-4.2188474935756E-015</v>
      </c>
      <c r="S28" s="10" t="n">
        <f aca="false">J28*Q28</f>
        <v>28409.399680085</v>
      </c>
    </row>
    <row r="29" customFormat="false" ht="15" hidden="false" customHeight="false" outlineLevel="0" collapsed="false">
      <c r="A29" s="0" t="s">
        <v>35</v>
      </c>
      <c r="B29" s="0" t="s">
        <v>11</v>
      </c>
      <c r="C29" s="5" t="n">
        <v>0.704437997250784</v>
      </c>
      <c r="D29" s="2" t="n">
        <v>1.00588723566734</v>
      </c>
      <c r="E29" s="2" t="n">
        <v>-1.06108530551271</v>
      </c>
      <c r="F29" s="2" t="n">
        <v>-1.95389171371362</v>
      </c>
      <c r="G29" s="7" t="n">
        <f aca="false">1/(1+EXP(-D29))</f>
        <v>0.732214503676787</v>
      </c>
      <c r="H29" s="7" t="n">
        <f aca="false">1/(1+EXP(-(D29+E29)))</f>
        <v>0.486203985199895</v>
      </c>
      <c r="I29" s="7" t="n">
        <f aca="false">1/(1+EXP(-(D29+F29)))</f>
        <v>0.279286314583395</v>
      </c>
      <c r="J29" s="9" t="n">
        <v>49190</v>
      </c>
      <c r="K29" s="5" t="n">
        <v>0.694307786135393</v>
      </c>
      <c r="L29" s="5" t="n">
        <v>0.63064875416751</v>
      </c>
      <c r="M29" s="5" t="n">
        <v>0.36935124583249</v>
      </c>
      <c r="N29" s="5" t="n">
        <v>0</v>
      </c>
      <c r="O29" s="7" t="n">
        <f aca="false">G29</f>
        <v>0.732214503676787</v>
      </c>
      <c r="P29" s="7" t="n">
        <f aca="false">L29*G29+M29*H29+N29*I29</f>
        <v>0.64135021218945</v>
      </c>
      <c r="Q29" s="7" t="n">
        <f aca="false">K29*O29+(1-K29)*P29</f>
        <v>0.704437997250784</v>
      </c>
      <c r="R29" s="7" t="n">
        <f aca="false">Q29-C29</f>
        <v>0</v>
      </c>
      <c r="S29" s="10" t="n">
        <f aca="false">J29*Q29</f>
        <v>34651.3050847661</v>
      </c>
    </row>
    <row r="30" customFormat="false" ht="15" hidden="false" customHeight="false" outlineLevel="0" collapsed="false">
      <c r="A30" s="0" t="s">
        <v>35</v>
      </c>
      <c r="B30" s="0" t="s">
        <v>12</v>
      </c>
      <c r="C30" s="5" t="n">
        <v>0.84035678098472</v>
      </c>
      <c r="D30" s="2" t="n">
        <v>1.82800698288735</v>
      </c>
      <c r="E30" s="2" t="n">
        <v>-1.06108530551271</v>
      </c>
      <c r="F30" s="2" t="n">
        <v>-1.95389171371362</v>
      </c>
      <c r="G30" s="7" t="n">
        <f aca="false">1/(1+EXP(-D30))</f>
        <v>0.86152413055444</v>
      </c>
      <c r="H30" s="7" t="n">
        <f aca="false">1/(1+EXP(-(D30+E30)))</f>
        <v>0.682854614855792</v>
      </c>
      <c r="I30" s="7" t="n">
        <f aca="false">1/(1+EXP(-(D30+F30)))</f>
        <v>0.468570311767289</v>
      </c>
      <c r="J30" s="9" t="n">
        <v>16843</v>
      </c>
      <c r="K30" s="5" t="n">
        <v>0.737873300480912</v>
      </c>
      <c r="L30" s="5" t="n">
        <v>0.548035043644866</v>
      </c>
      <c r="M30" s="5" t="n">
        <v>0.451964956355134</v>
      </c>
      <c r="N30" s="5" t="n">
        <v>0</v>
      </c>
      <c r="O30" s="7" t="n">
        <f aca="false">G30</f>
        <v>0.86152413055444</v>
      </c>
      <c r="P30" s="7" t="n">
        <f aca="false">L30*G30+M30*H30+N30*I30</f>
        <v>0.780771770689708</v>
      </c>
      <c r="Q30" s="7" t="n">
        <f aca="false">K30*O30+(1-K30)*P30</f>
        <v>0.84035678098472</v>
      </c>
      <c r="R30" s="7" t="n">
        <f aca="false">Q30-C30</f>
        <v>0</v>
      </c>
      <c r="S30" s="10" t="n">
        <f aca="false">J30*Q30</f>
        <v>14154.1292621256</v>
      </c>
    </row>
    <row r="31" customFormat="false" ht="15" hidden="false" customHeight="false" outlineLevel="0" collapsed="false">
      <c r="A31" s="0" t="s">
        <v>35</v>
      </c>
      <c r="B31" s="0" t="s">
        <v>13</v>
      </c>
      <c r="C31" s="5" t="n">
        <v>0.969325154979</v>
      </c>
      <c r="D31" s="2" t="n">
        <v>3.61527930376357</v>
      </c>
      <c r="E31" s="2" t="n">
        <v>-1.06108530551271</v>
      </c>
      <c r="F31" s="2" t="n">
        <v>-1.95389171371362</v>
      </c>
      <c r="G31" s="7" t="n">
        <f aca="false">1/(1+EXP(-D31))</f>
        <v>0.973795733049239</v>
      </c>
      <c r="H31" s="7" t="n">
        <f aca="false">1/(1+EXP(-(D31+E31)))</f>
        <v>0.927854766406967</v>
      </c>
      <c r="I31" s="7" t="n">
        <f aca="false">1/(1+EXP(-(D31+F31)))</f>
        <v>0.840424182582736</v>
      </c>
      <c r="J31" s="9" t="n">
        <v>13207</v>
      </c>
      <c r="K31" s="5" t="n">
        <v>0.841977739077762</v>
      </c>
      <c r="L31" s="5" t="n">
        <v>0.384192061377789</v>
      </c>
      <c r="M31" s="5" t="n">
        <v>0.615807938622212</v>
      </c>
      <c r="N31" s="5" t="n">
        <v>0</v>
      </c>
      <c r="O31" s="7" t="n">
        <f aca="false">G31</f>
        <v>0.973795733049239</v>
      </c>
      <c r="P31" s="7" t="n">
        <f aca="false">L31*G31+M31*H31+N31*I31</f>
        <v>0.94550492108295</v>
      </c>
      <c r="Q31" s="7" t="n">
        <f aca="false">K31*O31+(1-K31)*P31</f>
        <v>0.969325154979</v>
      </c>
      <c r="R31" s="7" t="n">
        <f aca="false">Q31-C31</f>
        <v>0</v>
      </c>
      <c r="S31" s="10" t="n">
        <f aca="false">J31*Q31</f>
        <v>12801.8773218077</v>
      </c>
    </row>
    <row r="32" customFormat="false" ht="15" hidden="false" customHeight="false" outlineLevel="0" collapsed="false">
      <c r="A32" s="0" t="s">
        <v>36</v>
      </c>
      <c r="B32" s="0" t="s">
        <v>8</v>
      </c>
      <c r="C32" s="5" t="n">
        <v>0.0868822140858275</v>
      </c>
      <c r="D32" s="2" t="n">
        <v>-1.65005242102159</v>
      </c>
      <c r="E32" s="2" t="n">
        <v>-1.06108530551271</v>
      </c>
      <c r="F32" s="2" t="n">
        <v>-1.95389171371362</v>
      </c>
      <c r="G32" s="7" t="n">
        <f aca="false">1/(1+EXP(-D32))</f>
        <v>0.161101864851668</v>
      </c>
      <c r="H32" s="7" t="n">
        <f aca="false">1/(1+EXP(-(D32+E32)))</f>
        <v>0.0623193344918254</v>
      </c>
      <c r="I32" s="7" t="n">
        <f aca="false">1/(1+EXP(-(D32+F32)))</f>
        <v>0.0264950719684351</v>
      </c>
      <c r="J32" s="9" t="n">
        <v>108985</v>
      </c>
      <c r="K32" s="5" t="n">
        <v>0.295251640133963</v>
      </c>
      <c r="L32" s="5" t="n">
        <v>0</v>
      </c>
      <c r="M32" s="5" t="n">
        <v>0.817688911295817</v>
      </c>
      <c r="N32" s="5" t="n">
        <v>0.182311088704183</v>
      </c>
      <c r="O32" s="7" t="n">
        <f aca="false">G32</f>
        <v>0.161101864851668</v>
      </c>
      <c r="P32" s="7" t="n">
        <f aca="false">L32*G32+M32*H32+N32*I32</f>
        <v>0.0557881741891617</v>
      </c>
      <c r="Q32" s="7" t="n">
        <f aca="false">K32*O32+(1-K32)*P32</f>
        <v>0.0868822140858274</v>
      </c>
      <c r="R32" s="7" t="n">
        <f aca="false">Q32-C32</f>
        <v>0</v>
      </c>
      <c r="S32" s="10" t="n">
        <f aca="false">J32*Q32</f>
        <v>9468.8581021439</v>
      </c>
    </row>
    <row r="33" customFormat="false" ht="15" hidden="false" customHeight="false" outlineLevel="0" collapsed="false">
      <c r="A33" s="0" t="s">
        <v>36</v>
      </c>
      <c r="B33" s="0" t="s">
        <v>9</v>
      </c>
      <c r="C33" s="5" t="n">
        <v>0.264400281476261</v>
      </c>
      <c r="D33" s="2" t="n">
        <v>-0.522977931745152</v>
      </c>
      <c r="E33" s="2" t="n">
        <v>-1.06108530551271</v>
      </c>
      <c r="F33" s="2" t="n">
        <v>-1.95389171371362</v>
      </c>
      <c r="G33" s="7" t="n">
        <f aca="false">1/(1+EXP(-D33))</f>
        <v>0.372156157721085</v>
      </c>
      <c r="H33" s="7" t="n">
        <f aca="false">1/(1+EXP(-(D33+E33)))</f>
        <v>0.170220798051895</v>
      </c>
      <c r="I33" s="7" t="n">
        <f aca="false">1/(1+EXP(-(D33+F33)))</f>
        <v>0.0774956957636828</v>
      </c>
      <c r="J33" s="9" t="n">
        <v>72493</v>
      </c>
      <c r="K33" s="5" t="n">
        <v>0.072903590691515</v>
      </c>
      <c r="L33" s="5" t="n">
        <v>0.443572850268156</v>
      </c>
      <c r="M33" s="5" t="n">
        <v>0.514722137092222</v>
      </c>
      <c r="N33" s="5" t="n">
        <v>0.0417050126396217</v>
      </c>
      <c r="O33" s="7" t="n">
        <f aca="false">G33</f>
        <v>0.372156157721085</v>
      </c>
      <c r="P33" s="7" t="n">
        <f aca="false">L33*G33+M33*H33+N33*I33</f>
        <v>0.255926739547342</v>
      </c>
      <c r="Q33" s="7" t="n">
        <f aca="false">K33*O33+(1-K33)*P33</f>
        <v>0.264400281476194</v>
      </c>
      <c r="R33" s="7" t="n">
        <f aca="false">Q33-C33</f>
        <v>-6.75015598972095E-014</v>
      </c>
      <c r="S33" s="10" t="n">
        <f aca="false">J33*Q33</f>
        <v>19167.1696050537</v>
      </c>
    </row>
    <row r="34" customFormat="false" ht="15" hidden="false" customHeight="false" outlineLevel="0" collapsed="false">
      <c r="A34" s="0" t="s">
        <v>36</v>
      </c>
      <c r="B34" s="0" t="s">
        <v>10</v>
      </c>
      <c r="C34" s="5" t="n">
        <v>0.412246541505928</v>
      </c>
      <c r="D34" s="2" t="n">
        <v>0.227665506146835</v>
      </c>
      <c r="E34" s="2" t="n">
        <v>-1.06108530551271</v>
      </c>
      <c r="F34" s="2" t="n">
        <v>-1.95389171371362</v>
      </c>
      <c r="G34" s="7" t="n">
        <f aca="false">1/(1+EXP(-D34))</f>
        <v>0.556671805286961</v>
      </c>
      <c r="H34" s="7" t="n">
        <f aca="false">1/(1+EXP(-(D34+E34)))</f>
        <v>0.302922457517799</v>
      </c>
      <c r="I34" s="7" t="n">
        <f aca="false">1/(1+EXP(-(D34+F34)))</f>
        <v>0.151070925932435</v>
      </c>
      <c r="J34" s="9" t="n">
        <v>72000</v>
      </c>
      <c r="K34" s="5" t="n">
        <v>0.338513888888889</v>
      </c>
      <c r="L34" s="5" t="n">
        <v>0.165399111259725</v>
      </c>
      <c r="M34" s="5" t="n">
        <v>0.791433027768422</v>
      </c>
      <c r="N34" s="5" t="n">
        <v>0.0431678609718524</v>
      </c>
      <c r="O34" s="7" t="n">
        <f aca="false">G34</f>
        <v>0.556671805286961</v>
      </c>
      <c r="P34" s="7" t="n">
        <f aca="false">L34*G34+M34*H34+N34*I34</f>
        <v>0.338337268317713</v>
      </c>
      <c r="Q34" s="7" t="n">
        <f aca="false">K34*O34+(1-K34)*P34</f>
        <v>0.412246541505928</v>
      </c>
      <c r="R34" s="7" t="n">
        <f aca="false">Q34-C34</f>
        <v>0</v>
      </c>
      <c r="S34" s="10" t="n">
        <f aca="false">J34*Q34</f>
        <v>29681.7509884268</v>
      </c>
    </row>
    <row r="35" customFormat="false" ht="15" hidden="false" customHeight="false" outlineLevel="0" collapsed="false">
      <c r="A35" s="0" t="s">
        <v>36</v>
      </c>
      <c r="B35" s="0" t="s">
        <v>11</v>
      </c>
      <c r="C35" s="5" t="n">
        <v>0.722967567940336</v>
      </c>
      <c r="D35" s="2" t="n">
        <v>1.09930821496082</v>
      </c>
      <c r="E35" s="2" t="n">
        <v>-1.06108530551271</v>
      </c>
      <c r="F35" s="2" t="n">
        <v>-1.95389171371362</v>
      </c>
      <c r="G35" s="7" t="n">
        <f aca="false">1/(1+EXP(-D35))</f>
        <v>0.750130463476377</v>
      </c>
      <c r="H35" s="7" t="n">
        <f aca="false">1/(1+EXP(-(D35+E35)))</f>
        <v>0.509554564129489</v>
      </c>
      <c r="I35" s="7" t="n">
        <f aca="false">1/(1+EXP(-(D35+F35)))</f>
        <v>0.298472248829547</v>
      </c>
      <c r="J35" s="9" t="n">
        <v>49190</v>
      </c>
      <c r="K35" s="5" t="n">
        <v>0.694307786135393</v>
      </c>
      <c r="L35" s="5" t="n">
        <v>0.63064875416751</v>
      </c>
      <c r="M35" s="5" t="n">
        <v>0.36935124583249</v>
      </c>
      <c r="N35" s="5" t="n">
        <v>0</v>
      </c>
      <c r="O35" s="7" t="n">
        <f aca="false">G35</f>
        <v>0.750130463476377</v>
      </c>
      <c r="P35" s="7" t="n">
        <f aca="false">L35*G35+M35*H35+N35*I35</f>
        <v>0.661273455335332</v>
      </c>
      <c r="Q35" s="7" t="n">
        <f aca="false">K35*O35+(1-K35)*P35</f>
        <v>0.722967567940356</v>
      </c>
      <c r="R35" s="7" t="n">
        <f aca="false">Q35-C35</f>
        <v>1.97619698383278E-014</v>
      </c>
      <c r="S35" s="10" t="n">
        <f aca="false">J35*Q35</f>
        <v>35562.7746669861</v>
      </c>
    </row>
    <row r="36" customFormat="false" ht="15" hidden="false" customHeight="false" outlineLevel="0" collapsed="false">
      <c r="A36" s="0" t="s">
        <v>36</v>
      </c>
      <c r="B36" s="0" t="s">
        <v>12</v>
      </c>
      <c r="C36" s="5" t="n">
        <v>0.849805453593687</v>
      </c>
      <c r="D36" s="2" t="n">
        <v>1.9020075890812</v>
      </c>
      <c r="E36" s="2" t="n">
        <v>-1.06108530551271</v>
      </c>
      <c r="F36" s="2" t="n">
        <v>-1.95389171371362</v>
      </c>
      <c r="G36" s="7" t="n">
        <f aca="false">1/(1+EXP(-D36))</f>
        <v>0.870118576407771</v>
      </c>
      <c r="H36" s="7" t="n">
        <f aca="false">1/(1+EXP(-(D36+E36)))</f>
        <v>0.698659424020015</v>
      </c>
      <c r="I36" s="7" t="n">
        <f aca="false">1/(1+EXP(-(D36+F36)))</f>
        <v>0.487031877852807</v>
      </c>
      <c r="J36" s="9" t="n">
        <v>16843</v>
      </c>
      <c r="K36" s="5" t="n">
        <v>0.737873300480912</v>
      </c>
      <c r="L36" s="5" t="n">
        <v>0.548035043644866</v>
      </c>
      <c r="M36" s="5" t="n">
        <v>0.451964956355134</v>
      </c>
      <c r="N36" s="5" t="n">
        <v>0</v>
      </c>
      <c r="O36" s="7" t="n">
        <f aca="false">G36</f>
        <v>0.870118576407771</v>
      </c>
      <c r="P36" s="7" t="n">
        <f aca="false">L36*G36+M36*H36+N36*I36</f>
        <v>0.79262504808215</v>
      </c>
      <c r="Q36" s="7" t="n">
        <f aca="false">K36*O36+(1-K36)*P36</f>
        <v>0.849805453593687</v>
      </c>
      <c r="R36" s="7" t="n">
        <f aca="false">Q36-C36</f>
        <v>0</v>
      </c>
      <c r="S36" s="10" t="n">
        <f aca="false">J36*Q36</f>
        <v>14313.2732548785</v>
      </c>
    </row>
    <row r="37" customFormat="false" ht="15" hidden="false" customHeight="false" outlineLevel="0" collapsed="false">
      <c r="A37" s="0" t="s">
        <v>36</v>
      </c>
      <c r="B37" s="0" t="s">
        <v>13</v>
      </c>
      <c r="C37" s="5" t="n">
        <v>0.974452794168891</v>
      </c>
      <c r="D37" s="2" t="n">
        <v>3.80455761775869</v>
      </c>
      <c r="E37" s="2" t="n">
        <v>-1.06108530551271</v>
      </c>
      <c r="F37" s="2" t="n">
        <v>-1.95389171371362</v>
      </c>
      <c r="G37" s="7" t="n">
        <f aca="false">1/(1+EXP(-D37))</f>
        <v>0.978216061127914</v>
      </c>
      <c r="H37" s="7" t="n">
        <f aca="false">1/(1+EXP(-(D37+E37)))</f>
        <v>0.939543630154978</v>
      </c>
      <c r="I37" s="7" t="n">
        <f aca="false">1/(1+EXP(-(D37+F37)))</f>
        <v>0.864205268796267</v>
      </c>
      <c r="J37" s="9" t="n">
        <v>13207</v>
      </c>
      <c r="K37" s="5" t="n">
        <v>0.841977739077762</v>
      </c>
      <c r="L37" s="5" t="n">
        <v>0.384192061377789</v>
      </c>
      <c r="M37" s="5" t="n">
        <v>0.615807938622212</v>
      </c>
      <c r="N37" s="5" t="n">
        <v>0</v>
      </c>
      <c r="O37" s="7" t="n">
        <f aca="false">G37</f>
        <v>0.978216061127914</v>
      </c>
      <c r="P37" s="7" t="n">
        <f aca="false">L37*G37+M37*H37+N37*I37</f>
        <v>0.95440127112896</v>
      </c>
      <c r="Q37" s="7" t="n">
        <f aca="false">K37*O37+(1-K37)*P37</f>
        <v>0.974452794168891</v>
      </c>
      <c r="R37" s="7" t="n">
        <f aca="false">Q37-C37</f>
        <v>0</v>
      </c>
      <c r="S37" s="10" t="n">
        <f aca="false">J37*Q37</f>
        <v>12869.5980525885</v>
      </c>
    </row>
    <row r="38" customFormat="false" ht="15" hidden="false" customHeight="false" outlineLevel="0" collapsed="false">
      <c r="A38" s="0" t="s">
        <v>38</v>
      </c>
      <c r="B38" s="0" t="s">
        <v>8</v>
      </c>
      <c r="C38" s="5" t="n">
        <v>0.0967245956976031</v>
      </c>
      <c r="D38" s="2" t="n">
        <v>-1.52795783535445</v>
      </c>
      <c r="E38" s="2" t="n">
        <v>-1.06108530551271</v>
      </c>
      <c r="F38" s="2" t="n">
        <v>-1.95389171371362</v>
      </c>
      <c r="G38" s="7" t="n">
        <f aca="false">1/(1+EXP(-D38))</f>
        <v>0.178292675352892</v>
      </c>
      <c r="H38" s="7" t="n">
        <f aca="false">1/(1+EXP(-(D38+E38)))</f>
        <v>0.0698469228353894</v>
      </c>
      <c r="I38" s="7" t="n">
        <f aca="false">1/(1+EXP(-(D38+F38)))</f>
        <v>0.029833101566719</v>
      </c>
      <c r="J38" s="9" t="n">
        <v>108985</v>
      </c>
      <c r="K38" s="5" t="n">
        <v>0.295251640133963</v>
      </c>
      <c r="L38" s="5" t="n">
        <v>0</v>
      </c>
      <c r="M38" s="5" t="n">
        <v>0.817688911295817</v>
      </c>
      <c r="N38" s="5" t="n">
        <v>0.182311088704183</v>
      </c>
      <c r="O38" s="7" t="n">
        <f aca="false">G38</f>
        <v>0.178292675352892</v>
      </c>
      <c r="P38" s="7" t="n">
        <f aca="false">L38*G38+M38*H38+N38*I38</f>
        <v>0.0625519595166835</v>
      </c>
      <c r="Q38" s="7" t="n">
        <f aca="false">K38*O38+(1-K38)*P38</f>
        <v>0.0967245956976031</v>
      </c>
      <c r="R38" s="7" t="n">
        <f aca="false">Q38-C38</f>
        <v>0</v>
      </c>
      <c r="S38" s="10" t="n">
        <f aca="false">J38*Q38</f>
        <v>10541.5300621033</v>
      </c>
    </row>
    <row r="39" customFormat="false" ht="15" hidden="false" customHeight="false" outlineLevel="0" collapsed="false">
      <c r="A39" s="0" t="s">
        <v>38</v>
      </c>
      <c r="B39" s="0" t="s">
        <v>9</v>
      </c>
      <c r="C39" s="5" t="n">
        <v>0.271819648516902</v>
      </c>
      <c r="D39" s="2" t="n">
        <v>-0.482829545946968</v>
      </c>
      <c r="E39" s="2" t="n">
        <v>-1.06108530551271</v>
      </c>
      <c r="F39" s="2" t="n">
        <v>-1.95389171371362</v>
      </c>
      <c r="G39" s="7" t="n">
        <f aca="false">1/(1+EXP(-D39))</f>
        <v>0.381584192142185</v>
      </c>
      <c r="H39" s="7" t="n">
        <f aca="false">1/(1+EXP(-(D39+E39)))</f>
        <v>0.175966891064453</v>
      </c>
      <c r="I39" s="7" t="n">
        <f aca="false">1/(1+EXP(-(D39+F39)))</f>
        <v>0.080415036656838</v>
      </c>
      <c r="J39" s="9" t="n">
        <v>72493</v>
      </c>
      <c r="K39" s="5" t="n">
        <v>0.072903590691515</v>
      </c>
      <c r="L39" s="5" t="n">
        <v>0.443572850268156</v>
      </c>
      <c r="M39" s="5" t="n">
        <v>0.514722137092222</v>
      </c>
      <c r="N39" s="5" t="n">
        <v>0.0417050126396217</v>
      </c>
      <c r="O39" s="7" t="n">
        <f aca="false">G39</f>
        <v>0.381584192142185</v>
      </c>
      <c r="P39" s="7" t="n">
        <f aca="false">L39*G39+M39*H39+N39*I39</f>
        <v>0.26318815207214</v>
      </c>
      <c r="Q39" s="7" t="n">
        <f aca="false">K39*O39+(1-K39)*P39</f>
        <v>0.271819648516902</v>
      </c>
      <c r="R39" s="7" t="n">
        <f aca="false">Q39-C39</f>
        <v>0</v>
      </c>
      <c r="S39" s="10" t="n">
        <f aca="false">J39*Q39</f>
        <v>19705.0217799358</v>
      </c>
    </row>
    <row r="40" customFormat="false" ht="15" hidden="false" customHeight="false" outlineLevel="0" collapsed="false">
      <c r="A40" s="0" t="s">
        <v>38</v>
      </c>
      <c r="B40" s="0" t="s">
        <v>10</v>
      </c>
      <c r="C40" s="5" t="n">
        <v>0.430147219615871</v>
      </c>
      <c r="D40" s="2" t="n">
        <v>0.306873558486028</v>
      </c>
      <c r="E40" s="2" t="n">
        <v>-1.06108530551271</v>
      </c>
      <c r="F40" s="2" t="n">
        <v>-1.95389171371362</v>
      </c>
      <c r="G40" s="7" t="n">
        <f aca="false">1/(1+EXP(-D40))</f>
        <v>0.576121949361855</v>
      </c>
      <c r="H40" s="7" t="n">
        <f aca="false">1/(1+EXP(-(D40+E40)))</f>
        <v>0.319904275626055</v>
      </c>
      <c r="I40" s="7" t="n">
        <f aca="false">1/(1+EXP(-(D40+F40)))</f>
        <v>0.161512361770942</v>
      </c>
      <c r="J40" s="9" t="n">
        <v>72000</v>
      </c>
      <c r="K40" s="5" t="n">
        <v>0.338513888888889</v>
      </c>
      <c r="L40" s="5" t="n">
        <v>0.165399111259725</v>
      </c>
      <c r="M40" s="5" t="n">
        <v>0.791433027768422</v>
      </c>
      <c r="N40" s="5" t="n">
        <v>0.0431678609718524</v>
      </c>
      <c r="O40" s="7" t="n">
        <f aca="false">G40</f>
        <v>0.576121949361855</v>
      </c>
      <c r="P40" s="7" t="n">
        <f aca="false">L40*G40+M40*H40+N40*I40</f>
        <v>0.355445011034628</v>
      </c>
      <c r="Q40" s="7" t="n">
        <f aca="false">K40*O40+(1-K40)*P40</f>
        <v>0.430147219615871</v>
      </c>
      <c r="R40" s="7" t="n">
        <f aca="false">Q40-C40</f>
        <v>0</v>
      </c>
      <c r="S40" s="10" t="n">
        <f aca="false">J40*Q40</f>
        <v>30970.5998123427</v>
      </c>
    </row>
    <row r="41" customFormat="false" ht="15" hidden="false" customHeight="false" outlineLevel="0" collapsed="false">
      <c r="A41" s="0" t="s">
        <v>38</v>
      </c>
      <c r="B41" s="0" t="s">
        <v>11</v>
      </c>
      <c r="C41" s="5" t="n">
        <v>0.740762970648566</v>
      </c>
      <c r="D41" s="2" t="n">
        <v>1.19270677313156</v>
      </c>
      <c r="E41" s="2" t="n">
        <v>-1.06108530551271</v>
      </c>
      <c r="F41" s="2" t="n">
        <v>-1.95389171371362</v>
      </c>
      <c r="G41" s="7" t="n">
        <f aca="false">1/(1+EXP(-D41))</f>
        <v>0.767224818880436</v>
      </c>
      <c r="H41" s="7" t="n">
        <f aca="false">1/(1+EXP(-(D41+E41)))</f>
        <v>0.532857944100062</v>
      </c>
      <c r="I41" s="7" t="n">
        <f aca="false">1/(1+EXP(-(D41+F41)))</f>
        <v>0.318389058088136</v>
      </c>
      <c r="J41" s="9" t="n">
        <v>49190</v>
      </c>
      <c r="K41" s="5" t="n">
        <v>0.694307786135393</v>
      </c>
      <c r="L41" s="5" t="n">
        <v>0.63064875416751</v>
      </c>
      <c r="M41" s="5" t="n">
        <v>0.36935124583249</v>
      </c>
      <c r="N41" s="5" t="n">
        <v>0</v>
      </c>
      <c r="O41" s="7" t="n">
        <f aca="false">G41</f>
        <v>0.767224818880436</v>
      </c>
      <c r="P41" s="7" t="n">
        <f aca="false">L41*G41+M41*H41+N41*I41</f>
        <v>0.680661121698437</v>
      </c>
      <c r="Q41" s="7" t="n">
        <f aca="false">K41*O41+(1-K41)*P41</f>
        <v>0.740762970648565</v>
      </c>
      <c r="R41" s="7" t="n">
        <f aca="false">Q41-C41</f>
        <v>0</v>
      </c>
      <c r="S41" s="10" t="n">
        <f aca="false">J41*Q41</f>
        <v>36438.1305262029</v>
      </c>
    </row>
    <row r="42" customFormat="false" ht="15" hidden="false" customHeight="false" outlineLevel="0" collapsed="false">
      <c r="A42" s="0" t="s">
        <v>38</v>
      </c>
      <c r="B42" s="0" t="s">
        <v>12</v>
      </c>
      <c r="C42" s="5" t="n">
        <v>0.858788866888775</v>
      </c>
      <c r="D42" s="2" t="n">
        <v>1.97594690346996</v>
      </c>
      <c r="E42" s="2" t="n">
        <v>-1.06108530551271</v>
      </c>
      <c r="F42" s="2" t="n">
        <v>-1.95389171371362</v>
      </c>
      <c r="G42" s="7" t="n">
        <f aca="false">1/(1+EXP(-D42))</f>
        <v>0.878248436108619</v>
      </c>
      <c r="H42" s="7" t="n">
        <f aca="false">1/(1+EXP(-(D42+E42)))</f>
        <v>0.713993965006159</v>
      </c>
      <c r="I42" s="7" t="n">
        <f aca="false">1/(1+EXP(-(D42+F42)))</f>
        <v>0.505513573942941</v>
      </c>
      <c r="J42" s="9" t="n">
        <v>16843</v>
      </c>
      <c r="K42" s="5" t="n">
        <v>0.737873300480912</v>
      </c>
      <c r="L42" s="5" t="n">
        <v>0.548035043644866</v>
      </c>
      <c r="M42" s="5" t="n">
        <v>0.451964956355134</v>
      </c>
      <c r="N42" s="5" t="n">
        <v>0</v>
      </c>
      <c r="O42" s="7" t="n">
        <f aca="false">G42</f>
        <v>0.878248436108619</v>
      </c>
      <c r="P42" s="7" t="n">
        <f aca="false">L42*G42+M42*H42+N42*I42</f>
        <v>0.80401117124566</v>
      </c>
      <c r="Q42" s="7" t="n">
        <f aca="false">K42*O42+(1-K42)*P42</f>
        <v>0.858788866888767</v>
      </c>
      <c r="R42" s="7" t="n">
        <f aca="false">Q42-C42</f>
        <v>-8.10462807976364E-015</v>
      </c>
      <c r="S42" s="10" t="n">
        <f aca="false">J42*Q42</f>
        <v>14464.5808850075</v>
      </c>
    </row>
    <row r="43" customFormat="false" ht="15" hidden="false" customHeight="false" outlineLevel="0" collapsed="false">
      <c r="A43" s="0" t="s">
        <v>38</v>
      </c>
      <c r="B43" s="0" t="s">
        <v>13</v>
      </c>
      <c r="C43" s="5" t="n">
        <v>0.978742089479658</v>
      </c>
      <c r="D43" s="2" t="n">
        <v>3.99366641341573</v>
      </c>
      <c r="E43" s="2" t="n">
        <v>-1.06108530551271</v>
      </c>
      <c r="F43" s="2" t="n">
        <v>-1.95389171371362</v>
      </c>
      <c r="G43" s="7" t="n">
        <f aca="false">1/(1+EXP(-D43))</f>
        <v>0.981901579569243</v>
      </c>
      <c r="H43" s="7" t="n">
        <f aca="false">1/(1+EXP(-(D43+E43)))</f>
        <v>0.949433736142361</v>
      </c>
      <c r="I43" s="7" t="n">
        <f aca="false">1/(1+EXP(-(D43+F43)))</f>
        <v>0.884910324451188</v>
      </c>
      <c r="J43" s="9" t="n">
        <v>13207</v>
      </c>
      <c r="K43" s="5" t="n">
        <v>0.841977739077762</v>
      </c>
      <c r="L43" s="5" t="n">
        <v>0.384192061377789</v>
      </c>
      <c r="M43" s="5" t="n">
        <v>0.615807938622212</v>
      </c>
      <c r="N43" s="5" t="n">
        <v>0</v>
      </c>
      <c r="O43" s="7" t="n">
        <f aca="false">G43</f>
        <v>0.981901579569243</v>
      </c>
      <c r="P43" s="7" t="n">
        <f aca="false">L43*G43+M43*H43+N43*I43</f>
        <v>0.961907623837026</v>
      </c>
      <c r="Q43" s="7" t="n">
        <f aca="false">K43*O43+(1-K43)*P43</f>
        <v>0.978742089479659</v>
      </c>
      <c r="R43" s="7" t="n">
        <f aca="false">Q43-C43</f>
        <v>0</v>
      </c>
      <c r="S43" s="10" t="n">
        <f aca="false">J43*Q43</f>
        <v>12926.2467757579</v>
      </c>
    </row>
    <row r="44" customFormat="false" ht="15" hidden="false" customHeight="false" outlineLevel="0" collapsed="false">
      <c r="A44" s="0" t="s">
        <v>39</v>
      </c>
      <c r="B44" s="0" t="s">
        <v>8</v>
      </c>
      <c r="C44" s="5" t="n">
        <v>0.107550636072024</v>
      </c>
      <c r="D44" s="2" t="n">
        <v>-1.40546587214142</v>
      </c>
      <c r="E44" s="2" t="n">
        <v>-1.06108530551271</v>
      </c>
      <c r="F44" s="2" t="n">
        <v>-1.95389171371362</v>
      </c>
      <c r="G44" s="7" t="n">
        <f aca="false">1/(1+EXP(-D44))</f>
        <v>0.196950192473822</v>
      </c>
      <c r="H44" s="7" t="n">
        <f aca="false">1/(1+EXP(-(D44+E44)))</f>
        <v>0.0782365876083186</v>
      </c>
      <c r="I44" s="7" t="n">
        <f aca="false">1/(1+EXP(-(D44+F44)))</f>
        <v>0.0335900709396217</v>
      </c>
      <c r="J44" s="9" t="n">
        <v>108985</v>
      </c>
      <c r="K44" s="5" t="n">
        <v>0.295251640133963</v>
      </c>
      <c r="L44" s="5" t="n">
        <v>0</v>
      </c>
      <c r="M44" s="5" t="n">
        <v>0.817688911295817</v>
      </c>
      <c r="N44" s="5" t="n">
        <v>0.182311088704183</v>
      </c>
      <c r="O44" s="7" t="n">
        <f aca="false">G44</f>
        <v>0.196950192473822</v>
      </c>
      <c r="P44" s="7" t="n">
        <f aca="false">L44*G44+M44*H44+N44*I44</f>
        <v>0.070097032547599</v>
      </c>
      <c r="Q44" s="7" t="n">
        <f aca="false">K44*O44+(1-K44)*P44</f>
        <v>0.107550636071992</v>
      </c>
      <c r="R44" s="7" t="n">
        <f aca="false">Q44-C44</f>
        <v>-3.16274784140092E-014</v>
      </c>
      <c r="S44" s="10" t="n">
        <f aca="false">J44*Q44</f>
        <v>11721.4060723061</v>
      </c>
    </row>
    <row r="45" customFormat="false" ht="15" hidden="false" customHeight="false" outlineLevel="0" collapsed="false">
      <c r="A45" s="0" t="s">
        <v>39</v>
      </c>
      <c r="B45" s="0" t="s">
        <v>9</v>
      </c>
      <c r="C45" s="5" t="n">
        <v>0.27936814211875</v>
      </c>
      <c r="D45" s="2" t="n">
        <v>-0.442631586017295</v>
      </c>
      <c r="E45" s="2" t="n">
        <v>-1.06108530551271</v>
      </c>
      <c r="F45" s="2" t="n">
        <v>-1.95389171371362</v>
      </c>
      <c r="G45" s="7" t="n">
        <f aca="false">1/(1+EXP(-D45))</f>
        <v>0.391114093938095</v>
      </c>
      <c r="H45" s="7" t="n">
        <f aca="false">1/(1+EXP(-(D45+E45)))</f>
        <v>0.181871816849483</v>
      </c>
      <c r="I45" s="7" t="n">
        <f aca="false">1/(1+EXP(-(D45+F45)))</f>
        <v>0.0834381967608425</v>
      </c>
      <c r="J45" s="9" t="n">
        <v>72493</v>
      </c>
      <c r="K45" s="5" t="n">
        <v>0.072903590691515</v>
      </c>
      <c r="L45" s="5" t="n">
        <v>0.443572850268156</v>
      </c>
      <c r="M45" s="5" t="n">
        <v>0.514722137092222</v>
      </c>
      <c r="N45" s="5" t="n">
        <v>0.0417050126396217</v>
      </c>
      <c r="O45" s="7" t="n">
        <f aca="false">G45</f>
        <v>0.391114093938095</v>
      </c>
      <c r="P45" s="7" t="n">
        <f aca="false">L45*G45+M45*H45+N45*I45</f>
        <v>0.270580834724317</v>
      </c>
      <c r="Q45" s="7" t="n">
        <f aca="false">K45*O45+(1-K45)*P45</f>
        <v>0.279368142118753</v>
      </c>
      <c r="R45" s="7" t="n">
        <f aca="false">Q45-C45</f>
        <v>3.10862446895044E-015</v>
      </c>
      <c r="S45" s="10" t="n">
        <f aca="false">J45*Q45</f>
        <v>20252.2347266148</v>
      </c>
    </row>
    <row r="46" customFormat="false" ht="15" hidden="false" customHeight="false" outlineLevel="0" collapsed="false">
      <c r="A46" s="0" t="s">
        <v>39</v>
      </c>
      <c r="B46" s="0" t="s">
        <v>10</v>
      </c>
      <c r="C46" s="5" t="n">
        <v>0.448232410518356</v>
      </c>
      <c r="D46" s="2" t="n">
        <v>0.386148384473583</v>
      </c>
      <c r="E46" s="2" t="n">
        <v>-1.06108530551271</v>
      </c>
      <c r="F46" s="2" t="n">
        <v>-1.95389171371362</v>
      </c>
      <c r="G46" s="7" t="n">
        <f aca="false">1/(1+EXP(-D46))</f>
        <v>0.595355158444464</v>
      </c>
      <c r="H46" s="7" t="n">
        <f aca="false">1/(1+EXP(-(D46+E46)))</f>
        <v>0.337392264537297</v>
      </c>
      <c r="I46" s="7" t="n">
        <f aca="false">1/(1+EXP(-(D46+F46)))</f>
        <v>0.172538335997737</v>
      </c>
      <c r="J46" s="9" t="n">
        <v>72000</v>
      </c>
      <c r="K46" s="5" t="n">
        <v>0.338513888888889</v>
      </c>
      <c r="L46" s="5" t="n">
        <v>0.165399111259725</v>
      </c>
      <c r="M46" s="5" t="n">
        <v>0.791433027768422</v>
      </c>
      <c r="N46" s="5" t="n">
        <v>0.0431678609718524</v>
      </c>
      <c r="O46" s="7" t="n">
        <f aca="false">G46</f>
        <v>0.595355158444464</v>
      </c>
      <c r="P46" s="7" t="n">
        <f aca="false">L46*G46+M46*H46+N46*I46</f>
        <v>0.37294270645967</v>
      </c>
      <c r="Q46" s="7" t="n">
        <f aca="false">K46*O46+(1-K46)*P46</f>
        <v>0.448232410518356</v>
      </c>
      <c r="R46" s="7" t="n">
        <f aca="false">Q46-C46</f>
        <v>0</v>
      </c>
      <c r="S46" s="10" t="n">
        <f aca="false">J46*Q46</f>
        <v>32272.7335573216</v>
      </c>
    </row>
    <row r="47" customFormat="false" ht="15" hidden="false" customHeight="false" outlineLevel="0" collapsed="false">
      <c r="A47" s="0" t="s">
        <v>39</v>
      </c>
      <c r="B47" s="0" t="s">
        <v>11</v>
      </c>
      <c r="C47" s="5" t="n">
        <v>0.757798222537111</v>
      </c>
      <c r="D47" s="2" t="n">
        <v>1.28607132048445</v>
      </c>
      <c r="E47" s="2" t="n">
        <v>-1.06108530551271</v>
      </c>
      <c r="F47" s="2" t="n">
        <v>-1.95389171371362</v>
      </c>
      <c r="G47" s="7" t="n">
        <f aca="false">1/(1+EXP(-D47))</f>
        <v>0.78348147711629</v>
      </c>
      <c r="H47" s="7" t="n">
        <f aca="false">1/(1+EXP(-(D47+E47)))</f>
        <v>0.55601043816366</v>
      </c>
      <c r="I47" s="7" t="n">
        <f aca="false">1/(1+EXP(-(D47+F47)))</f>
        <v>0.338985062884341</v>
      </c>
      <c r="J47" s="9" t="n">
        <v>49190</v>
      </c>
      <c r="K47" s="5" t="n">
        <v>0.694307786135393</v>
      </c>
      <c r="L47" s="5" t="n">
        <v>0.63064875416751</v>
      </c>
      <c r="M47" s="5" t="n">
        <v>0.36935124583249</v>
      </c>
      <c r="N47" s="5" t="n">
        <v>0</v>
      </c>
      <c r="O47" s="7" t="n">
        <f aca="false">G47</f>
        <v>0.78348147711629</v>
      </c>
      <c r="P47" s="7" t="n">
        <f aca="false">L47*G47+M47*H47+N47*I47</f>
        <v>0.699464765488325</v>
      </c>
      <c r="Q47" s="7" t="n">
        <f aca="false">K47*O47+(1-K47)*P47</f>
        <v>0.757798222537113</v>
      </c>
      <c r="R47" s="7" t="n">
        <f aca="false">Q47-C47</f>
        <v>0</v>
      </c>
      <c r="S47" s="10" t="n">
        <f aca="false">J47*Q47</f>
        <v>37276.0945666006</v>
      </c>
    </row>
    <row r="48" customFormat="false" ht="15" hidden="false" customHeight="false" outlineLevel="0" collapsed="false">
      <c r="A48" s="0" t="s">
        <v>39</v>
      </c>
      <c r="B48" s="0" t="s">
        <v>12</v>
      </c>
      <c r="C48" s="5" t="n">
        <v>0.867318857201636</v>
      </c>
      <c r="D48" s="2" t="n">
        <v>2.04982342212377</v>
      </c>
      <c r="E48" s="2" t="n">
        <v>-1.06108530551271</v>
      </c>
      <c r="F48" s="2" t="n">
        <v>-1.95389171371362</v>
      </c>
      <c r="G48" s="7" t="n">
        <f aca="false">1/(1+EXP(-D48))</f>
        <v>0.885929775292385</v>
      </c>
      <c r="H48" s="7" t="n">
        <f aca="false">1/(1+EXP(-(D48+E48)))</f>
        <v>0.728838604712478</v>
      </c>
      <c r="I48" s="7" t="n">
        <f aca="false">1/(1+EXP(-(D48+F48)))</f>
        <v>0.523964551321367</v>
      </c>
      <c r="J48" s="9" t="n">
        <v>16843</v>
      </c>
      <c r="K48" s="5" t="n">
        <v>0.737873300480912</v>
      </c>
      <c r="L48" s="5" t="n">
        <v>0.548035043644866</v>
      </c>
      <c r="M48" s="5" t="n">
        <v>0.451964956355134</v>
      </c>
      <c r="N48" s="5" t="n">
        <v>0</v>
      </c>
      <c r="O48" s="7" t="n">
        <f aca="false">G48</f>
        <v>0.885929775292385</v>
      </c>
      <c r="P48" s="7" t="n">
        <f aca="false">L48*G48+M48*H48+N48*I48</f>
        <v>0.81493007123746</v>
      </c>
      <c r="Q48" s="7" t="n">
        <f aca="false">K48*O48+(1-K48)*P48</f>
        <v>0.867318857201636</v>
      </c>
      <c r="R48" s="7" t="n">
        <f aca="false">Q48-C48</f>
        <v>0</v>
      </c>
      <c r="S48" s="10" t="n">
        <f aca="false">J48*Q48</f>
        <v>14608.2515118472</v>
      </c>
    </row>
    <row r="49" customFormat="false" ht="15" hidden="false" customHeight="false" outlineLevel="0" collapsed="false">
      <c r="A49" s="0" t="s">
        <v>39</v>
      </c>
      <c r="B49" s="0" t="s">
        <v>13</v>
      </c>
      <c r="C49" s="5" t="n">
        <v>0.982324288681368</v>
      </c>
      <c r="D49" s="2" t="n">
        <v>4.18262970665611</v>
      </c>
      <c r="E49" s="2" t="n">
        <v>-1.06108530551271</v>
      </c>
      <c r="F49" s="2" t="n">
        <v>-1.95389171371362</v>
      </c>
      <c r="G49" s="7" t="n">
        <f aca="false">1/(1+EXP(-D49))</f>
        <v>0.984970987794723</v>
      </c>
      <c r="H49" s="7" t="n">
        <f aca="false">1/(1+EXP(-(D49+E49)))</f>
        <v>0.957772734287374</v>
      </c>
      <c r="I49" s="7" t="n">
        <f aca="false">1/(1+EXP(-(D49+F49)))</f>
        <v>0.902800672132569</v>
      </c>
      <c r="J49" s="9" t="n">
        <v>13207</v>
      </c>
      <c r="K49" s="5" t="n">
        <v>0.841977739077762</v>
      </c>
      <c r="L49" s="5" t="n">
        <v>0.384192061377789</v>
      </c>
      <c r="M49" s="5" t="n">
        <v>0.615807938622212</v>
      </c>
      <c r="N49" s="5" t="n">
        <v>0</v>
      </c>
      <c r="O49" s="7" t="n">
        <f aca="false">G49</f>
        <v>0.984970987794723</v>
      </c>
      <c r="P49" s="7" t="n">
        <f aca="false">L49*G49+M49*H49+N49*I49</f>
        <v>0.968222087368238</v>
      </c>
      <c r="Q49" s="7" t="n">
        <f aca="false">K49*O49+(1-K49)*P49</f>
        <v>0.982324288681368</v>
      </c>
      <c r="R49" s="7" t="n">
        <f aca="false">Q49-C49</f>
        <v>0</v>
      </c>
      <c r="S49" s="10" t="n">
        <f aca="false">J49*Q49</f>
        <v>12973.5568806148</v>
      </c>
    </row>
    <row r="50" customFormat="false" ht="15" hidden="false" customHeight="false" outlineLevel="0" collapsed="false">
      <c r="A50" s="0" t="s">
        <v>40</v>
      </c>
      <c r="B50" s="0" t="s">
        <v>8</v>
      </c>
      <c r="C50" s="5" t="n">
        <v>0.119428186908099</v>
      </c>
      <c r="D50" s="2" t="n">
        <v>-1.28254935309093</v>
      </c>
      <c r="E50" s="2" t="n">
        <v>-1.06108530551271</v>
      </c>
      <c r="F50" s="2" t="n">
        <v>-1.95389171371362</v>
      </c>
      <c r="G50" s="7" t="n">
        <f aca="false">1/(1+EXP(-D50))</f>
        <v>0.217116579765688</v>
      </c>
      <c r="H50" s="7" t="n">
        <f aca="false">1/(1+EXP(-(D50+E50)))</f>
        <v>0.0875730553253541</v>
      </c>
      <c r="I50" s="7" t="n">
        <f aca="false">1/(1+EXP(-(D50+F50)))</f>
        <v>0.0378171767491161</v>
      </c>
      <c r="J50" s="9" t="n">
        <v>108985</v>
      </c>
      <c r="K50" s="5" t="n">
        <v>0.295251640133963</v>
      </c>
      <c r="L50" s="5" t="n">
        <v>0</v>
      </c>
      <c r="M50" s="5" t="n">
        <v>0.817688911295817</v>
      </c>
      <c r="N50" s="5" t="n">
        <v>0.182311088704183</v>
      </c>
      <c r="O50" s="7" t="n">
        <f aca="false">G50</f>
        <v>0.217116579765688</v>
      </c>
      <c r="P50" s="7" t="n">
        <f aca="false">L50*G50+M50*H50+N50*I50</f>
        <v>0.078502006932687</v>
      </c>
      <c r="Q50" s="7" t="n">
        <f aca="false">K50*O50+(1-K50)*P50</f>
        <v>0.119428186908099</v>
      </c>
      <c r="R50" s="7" t="n">
        <f aca="false">Q50-C50</f>
        <v>0</v>
      </c>
      <c r="S50" s="10" t="n">
        <f aca="false">J50*Q50</f>
        <v>13015.8809501792</v>
      </c>
    </row>
    <row r="51" customFormat="false" ht="15" hidden="false" customHeight="false" outlineLevel="0" collapsed="false">
      <c r="A51" s="0" t="s">
        <v>40</v>
      </c>
      <c r="B51" s="0" t="s">
        <v>9</v>
      </c>
      <c r="C51" s="5" t="n">
        <v>0.287043627027874</v>
      </c>
      <c r="D51" s="2" t="n">
        <v>-0.402384409575634</v>
      </c>
      <c r="E51" s="2" t="n">
        <v>-1.06108530551271</v>
      </c>
      <c r="F51" s="2" t="n">
        <v>-1.95389171371362</v>
      </c>
      <c r="G51" s="7" t="n">
        <f aca="false">1/(1+EXP(-D51))</f>
        <v>0.400739594909763</v>
      </c>
      <c r="H51" s="7" t="n">
        <f aca="false">1/(1+EXP(-(D51+E51)))</f>
        <v>0.187937214881989</v>
      </c>
      <c r="I51" s="7" t="n">
        <f aca="false">1/(1+EXP(-(D51+F51)))</f>
        <v>0.0865682038938823</v>
      </c>
      <c r="J51" s="9" t="n">
        <v>72493</v>
      </c>
      <c r="K51" s="5" t="n">
        <v>0.072903590691515</v>
      </c>
      <c r="L51" s="5" t="n">
        <v>0.443572850268156</v>
      </c>
      <c r="M51" s="5" t="n">
        <v>0.514722137092222</v>
      </c>
      <c r="N51" s="5" t="n">
        <v>0.0417050126396217</v>
      </c>
      <c r="O51" s="7" t="n">
        <f aca="false">G51</f>
        <v>0.400739594909763</v>
      </c>
      <c r="P51" s="7" t="n">
        <f aca="false">L51*G51+M51*H51+N51*I51</f>
        <v>0.278102977250231</v>
      </c>
      <c r="Q51" s="7" t="n">
        <f aca="false">K51*O51+(1-K51)*P51</f>
        <v>0.287043627027874</v>
      </c>
      <c r="R51" s="7" t="n">
        <f aca="false">Q51-C51</f>
        <v>0</v>
      </c>
      <c r="S51" s="10" t="n">
        <f aca="false">J51*Q51</f>
        <v>20808.6536541316</v>
      </c>
    </row>
    <row r="52" customFormat="false" ht="15" hidden="false" customHeight="false" outlineLevel="0" collapsed="false">
      <c r="A52" s="0" t="s">
        <v>40</v>
      </c>
      <c r="B52" s="0" t="s">
        <v>10</v>
      </c>
      <c r="C52" s="5" t="n">
        <v>0.466455568424233</v>
      </c>
      <c r="D52" s="2" t="n">
        <v>0.465472712024546</v>
      </c>
      <c r="E52" s="2" t="n">
        <v>-1.06108530551271</v>
      </c>
      <c r="F52" s="2" t="n">
        <v>-1.95389171371362</v>
      </c>
      <c r="G52" s="7" t="n">
        <f aca="false">1/(1+EXP(-D52))</f>
        <v>0.614311649832929</v>
      </c>
      <c r="H52" s="7" t="n">
        <f aca="false">1/(1+EXP(-(D52+E52)))</f>
        <v>0.355348103500883</v>
      </c>
      <c r="I52" s="7" t="n">
        <f aca="false">1/(1+EXP(-(D52+F52)))</f>
        <v>0.184159145203737</v>
      </c>
      <c r="J52" s="9" t="n">
        <v>72000</v>
      </c>
      <c r="K52" s="5" t="n">
        <v>0.338513888888889</v>
      </c>
      <c r="L52" s="5" t="n">
        <v>0.165399111259725</v>
      </c>
      <c r="M52" s="5" t="n">
        <v>0.791433027768422</v>
      </c>
      <c r="N52" s="5" t="n">
        <v>0.0431678609718524</v>
      </c>
      <c r="O52" s="7" t="n">
        <f aca="false">G52</f>
        <v>0.614311649832929</v>
      </c>
      <c r="P52" s="7" t="n">
        <f aca="false">L52*G52+M52*H52+N52*I52</f>
        <v>0.390790582761182</v>
      </c>
      <c r="Q52" s="7" t="n">
        <f aca="false">K52*O52+(1-K52)*P52</f>
        <v>0.466455568424233</v>
      </c>
      <c r="R52" s="7" t="n">
        <f aca="false">Q52-C52</f>
        <v>0</v>
      </c>
      <c r="S52" s="10" t="n">
        <f aca="false">J52*Q52</f>
        <v>33584.8009265448</v>
      </c>
    </row>
    <row r="53" customFormat="false" ht="15" hidden="false" customHeight="false" outlineLevel="0" collapsed="false">
      <c r="A53" s="0" t="s">
        <v>40</v>
      </c>
      <c r="B53" s="0" t="s">
        <v>11</v>
      </c>
      <c r="C53" s="5" t="n">
        <v>0.774055482796952</v>
      </c>
      <c r="D53" s="2" t="n">
        <v>1.37939088236051</v>
      </c>
      <c r="E53" s="2" t="n">
        <v>-1.06108530551271</v>
      </c>
      <c r="F53" s="2" t="n">
        <v>-1.95389171371362</v>
      </c>
      <c r="G53" s="7" t="n">
        <f aca="false">1/(1+EXP(-D53))</f>
        <v>0.798893155471021</v>
      </c>
      <c r="H53" s="7" t="n">
        <f aca="false">1/(1+EXP(-(D53+E53)))</f>
        <v>0.578911252830207</v>
      </c>
      <c r="I53" s="7" t="n">
        <f aca="false">1/(1+EXP(-(D53+F53)))</f>
        <v>0.360198931473302</v>
      </c>
      <c r="J53" s="9" t="n">
        <v>49190</v>
      </c>
      <c r="K53" s="5" t="n">
        <v>0.694307786135393</v>
      </c>
      <c r="L53" s="5" t="n">
        <v>0.63064875416751</v>
      </c>
      <c r="M53" s="5" t="n">
        <v>0.36935124583249</v>
      </c>
      <c r="N53" s="5" t="n">
        <v>0</v>
      </c>
      <c r="O53" s="7" t="n">
        <f aca="false">G53</f>
        <v>0.798893155471021</v>
      </c>
      <c r="P53" s="7" t="n">
        <f aca="false">L53*G53+M53*H53+N53*I53</f>
        <v>0.717642565670035</v>
      </c>
      <c r="Q53" s="7" t="n">
        <f aca="false">K53*O53+(1-K53)*P53</f>
        <v>0.774055482796953</v>
      </c>
      <c r="R53" s="7" t="n">
        <f aca="false">Q53-C53</f>
        <v>0</v>
      </c>
      <c r="S53" s="10" t="n">
        <f aca="false">J53*Q53</f>
        <v>38075.7891987821</v>
      </c>
    </row>
    <row r="54" customFormat="false" ht="15" hidden="false" customHeight="false" outlineLevel="0" collapsed="false">
      <c r="A54" s="0" t="s">
        <v>40</v>
      </c>
      <c r="B54" s="0" t="s">
        <v>12</v>
      </c>
      <c r="C54" s="5" t="n">
        <v>0.875408338845464</v>
      </c>
      <c r="D54" s="2" t="n">
        <v>2.12363609686392</v>
      </c>
      <c r="E54" s="2" t="n">
        <v>-1.06108530551271</v>
      </c>
      <c r="F54" s="2" t="n">
        <v>-1.95389171371362</v>
      </c>
      <c r="G54" s="7" t="n">
        <f aca="false">1/(1+EXP(-D54))</f>
        <v>0.893179345819452</v>
      </c>
      <c r="H54" s="7" t="n">
        <f aca="false">1/(1+EXP(-(D54+E54)))</f>
        <v>0.743177703003391</v>
      </c>
      <c r="I54" s="7" t="n">
        <f aca="false">1/(1+EXP(-(D54+F54)))</f>
        <v>0.542334495367786</v>
      </c>
      <c r="J54" s="9" t="n">
        <v>16843</v>
      </c>
      <c r="K54" s="5" t="n">
        <v>0.737873300480912</v>
      </c>
      <c r="L54" s="5" t="n">
        <v>0.548035043644866</v>
      </c>
      <c r="M54" s="5" t="n">
        <v>0.451964956355134</v>
      </c>
      <c r="N54" s="5" t="n">
        <v>0</v>
      </c>
      <c r="O54" s="7" t="n">
        <f aca="false">G54</f>
        <v>0.893179345819452</v>
      </c>
      <c r="P54" s="7" t="n">
        <f aca="false">L54*G54+M54*H54+N54*I54</f>
        <v>0.825383859870893</v>
      </c>
      <c r="Q54" s="7" t="n">
        <f aca="false">K54*O54+(1-K54)*P54</f>
        <v>0.875408338845464</v>
      </c>
      <c r="R54" s="7" t="n">
        <f aca="false">Q54-C54</f>
        <v>0</v>
      </c>
      <c r="S54" s="10" t="n">
        <f aca="false">J54*Q54</f>
        <v>14744.5026511741</v>
      </c>
    </row>
    <row r="55" customFormat="false" ht="15" hidden="false" customHeight="false" outlineLevel="0" collapsed="false">
      <c r="A55" s="0" t="s">
        <v>40</v>
      </c>
      <c r="B55" s="0" t="s">
        <v>13</v>
      </c>
      <c r="C55" s="5" t="n">
        <v>0.985311905572188</v>
      </c>
      <c r="D55" s="2" t="n">
        <v>4.37146886840959</v>
      </c>
      <c r="E55" s="2" t="n">
        <v>-1.06108530551271</v>
      </c>
      <c r="F55" s="2" t="n">
        <v>-1.95389171371362</v>
      </c>
      <c r="G55" s="7" t="n">
        <f aca="false">1/(1+EXP(-D55))</f>
        <v>0.987524922352428</v>
      </c>
      <c r="H55" s="7" t="n">
        <f aca="false">1/(1+EXP(-(D55+E55)))</f>
        <v>0.964783315230829</v>
      </c>
      <c r="I55" s="7" t="n">
        <f aca="false">1/(1+EXP(-(D55+F55)))</f>
        <v>0.918157866609578</v>
      </c>
      <c r="J55" s="9" t="n">
        <v>13207</v>
      </c>
      <c r="K55" s="5" t="n">
        <v>0.841977739077762</v>
      </c>
      <c r="L55" s="5" t="n">
        <v>0.384192061377789</v>
      </c>
      <c r="M55" s="5" t="n">
        <v>0.615807938622212</v>
      </c>
      <c r="N55" s="5" t="n">
        <v>0</v>
      </c>
      <c r="O55" s="7" t="n">
        <f aca="false">G55</f>
        <v>0.987524922352428</v>
      </c>
      <c r="P55" s="7" t="n">
        <f aca="false">L55*G55+M55*H55+N55*I55</f>
        <v>0.97352046014992</v>
      </c>
      <c r="Q55" s="7" t="n">
        <f aca="false">K55*O55+(1-K55)*P55</f>
        <v>0.985311905572188</v>
      </c>
      <c r="R55" s="7" t="n">
        <f aca="false">Q55-C55</f>
        <v>0</v>
      </c>
      <c r="S55" s="10" t="n">
        <f aca="false">J55*Q55</f>
        <v>13013.0143368919</v>
      </c>
    </row>
    <row r="56" customFormat="false" ht="15" hidden="false" customHeight="false" outlineLevel="0" collapsed="false">
      <c r="A56" s="0" t="s">
        <v>41</v>
      </c>
      <c r="B56" s="0" t="s">
        <v>8</v>
      </c>
      <c r="C56" s="5" t="n">
        <v>0.132422822144913</v>
      </c>
      <c r="D56" s="2" t="n">
        <v>-1.15918241763701</v>
      </c>
      <c r="E56" s="2" t="n">
        <v>-1.06108530551271</v>
      </c>
      <c r="F56" s="2" t="n">
        <v>-1.95389171371362</v>
      </c>
      <c r="G56" s="7" t="n">
        <f aca="false">1/(1+EXP(-D56))</f>
        <v>0.238815875873576</v>
      </c>
      <c r="H56" s="7" t="n">
        <f aca="false">1/(1+EXP(-(D56+E56)))</f>
        <v>0.09794514790348</v>
      </c>
      <c r="I56" s="7" t="n">
        <f aca="false">1/(1+EXP(-(D56+F56)))</f>
        <v>0.0425711697698663</v>
      </c>
      <c r="J56" s="9" t="n">
        <v>108985</v>
      </c>
      <c r="K56" s="5" t="n">
        <v>0.295251640133963</v>
      </c>
      <c r="L56" s="5" t="n">
        <v>0</v>
      </c>
      <c r="M56" s="5" t="n">
        <v>0.817688911295817</v>
      </c>
      <c r="N56" s="5" t="n">
        <v>0.182311088704183</v>
      </c>
      <c r="O56" s="7" t="n">
        <f aca="false">G56</f>
        <v>0.238815875873576</v>
      </c>
      <c r="P56" s="7" t="n">
        <f aca="false">L56*G56+M56*H56+N56*I56</f>
        <v>0.0878498576640592</v>
      </c>
      <c r="Q56" s="7" t="n">
        <f aca="false">K56*O56+(1-K56)*P56</f>
        <v>0.132422822144913</v>
      </c>
      <c r="R56" s="7" t="n">
        <f aca="false">Q56-C56</f>
        <v>0</v>
      </c>
      <c r="S56" s="10" t="n">
        <f aca="false">J56*Q56</f>
        <v>14432.1012714633</v>
      </c>
    </row>
    <row r="57" customFormat="false" ht="15" hidden="false" customHeight="false" outlineLevel="0" collapsed="false">
      <c r="A57" s="0" t="s">
        <v>41</v>
      </c>
      <c r="B57" s="0" t="s">
        <v>9</v>
      </c>
      <c r="C57" s="5" t="n">
        <v>0.294843711028117</v>
      </c>
      <c r="D57" s="2" t="n">
        <v>-0.3620884756521</v>
      </c>
      <c r="E57" s="2" t="n">
        <v>-1.06108530551271</v>
      </c>
      <c r="F57" s="2" t="n">
        <v>-1.95389171371362</v>
      </c>
      <c r="G57" s="7" t="n">
        <f aca="false">1/(1+EXP(-D57))</f>
        <v>0.410454099058402</v>
      </c>
      <c r="H57" s="7" t="n">
        <f aca="false">1/(1+EXP(-(D57+E57)))</f>
        <v>0.194164516946333</v>
      </c>
      <c r="I57" s="7" t="n">
        <f aca="false">1/(1+EXP(-(D57+F57)))</f>
        <v>0.0898081077940278</v>
      </c>
      <c r="J57" s="9" t="n">
        <v>72493</v>
      </c>
      <c r="K57" s="5" t="n">
        <v>0.072903590691515</v>
      </c>
      <c r="L57" s="5" t="n">
        <v>0.443572850268156</v>
      </c>
      <c r="M57" s="5" t="n">
        <v>0.514722137092222</v>
      </c>
      <c r="N57" s="5" t="n">
        <v>0.0417050126396217</v>
      </c>
      <c r="O57" s="7" t="n">
        <f aca="false">G57</f>
        <v>0.410454099058402</v>
      </c>
      <c r="P57" s="7" t="n">
        <f aca="false">L57*G57+M57*H57+N57*I57</f>
        <v>0.285752518004369</v>
      </c>
      <c r="Q57" s="7" t="n">
        <f aca="false">K57*O57+(1-K57)*P57</f>
        <v>0.294843711028117</v>
      </c>
      <c r="R57" s="7" t="n">
        <f aca="false">Q57-C57</f>
        <v>0</v>
      </c>
      <c r="S57" s="10" t="n">
        <f aca="false">J57*Q57</f>
        <v>21374.1051435613</v>
      </c>
    </row>
    <row r="58" customFormat="false" ht="15" hidden="false" customHeight="false" outlineLevel="0" collapsed="false">
      <c r="A58" s="0" t="s">
        <v>41</v>
      </c>
      <c r="B58" s="0" t="s">
        <v>10</v>
      </c>
      <c r="C58" s="5" t="n">
        <v>0.484768687587884</v>
      </c>
      <c r="D58" s="2" t="n">
        <v>0.544828746458735</v>
      </c>
      <c r="E58" s="2" t="n">
        <v>-1.06108530551271</v>
      </c>
      <c r="F58" s="2" t="n">
        <v>-1.95389171371362</v>
      </c>
      <c r="G58" s="7" t="n">
        <f aca="false">1/(1+EXP(-D58))</f>
        <v>0.632934990544207</v>
      </c>
      <c r="H58" s="7" t="n">
        <f aca="false">1/(1+EXP(-(D58+E58)))</f>
        <v>0.373727991193065</v>
      </c>
      <c r="I58" s="7" t="n">
        <f aca="false">1/(1+EXP(-(D58+F58)))</f>
        <v>0.196381893097417</v>
      </c>
      <c r="J58" s="9" t="n">
        <v>72000</v>
      </c>
      <c r="K58" s="5" t="n">
        <v>0.338513888888889</v>
      </c>
      <c r="L58" s="5" t="n">
        <v>0.165399111259725</v>
      </c>
      <c r="M58" s="5" t="n">
        <v>0.791433027768422</v>
      </c>
      <c r="N58" s="5" t="n">
        <v>0.0431678609718524</v>
      </c>
      <c r="O58" s="7" t="n">
        <f aca="false">G58</f>
        <v>0.632934990544207</v>
      </c>
      <c r="P58" s="7" t="n">
        <f aca="false">L58*G58+M58*H58+N58*I58</f>
        <v>0.40894494681155</v>
      </c>
      <c r="Q58" s="7" t="n">
        <f aca="false">K58*O58+(1-K58)*P58</f>
        <v>0.484768687587884</v>
      </c>
      <c r="R58" s="7" t="n">
        <f aca="false">Q58-C58</f>
        <v>0</v>
      </c>
      <c r="S58" s="10" t="n">
        <f aca="false">J58*Q58</f>
        <v>34903.3455063277</v>
      </c>
    </row>
    <row r="59" customFormat="false" ht="15" hidden="false" customHeight="false" outlineLevel="0" collapsed="false">
      <c r="A59" s="0" t="s">
        <v>41</v>
      </c>
      <c r="B59" s="0" t="s">
        <v>11</v>
      </c>
      <c r="C59" s="5" t="n">
        <v>0.78952459580959</v>
      </c>
      <c r="D59" s="2" t="n">
        <v>1.47265527729787</v>
      </c>
      <c r="E59" s="2" t="n">
        <v>-1.06108530551271</v>
      </c>
      <c r="F59" s="2" t="n">
        <v>-1.95389171371362</v>
      </c>
      <c r="G59" s="7" t="n">
        <f aca="false">1/(1+EXP(-D59))</f>
        <v>0.813460639655629</v>
      </c>
      <c r="H59" s="7" t="n">
        <f aca="false">1/(1+EXP(-(D59+E59)))</f>
        <v>0.601464268818633</v>
      </c>
      <c r="I59" s="7" t="n">
        <f aca="false">1/(1+EXP(-(D59+F59)))</f>
        <v>0.381960201313915</v>
      </c>
      <c r="J59" s="9" t="n">
        <v>49190</v>
      </c>
      <c r="K59" s="5" t="n">
        <v>0.694307786135393</v>
      </c>
      <c r="L59" s="5" t="n">
        <v>0.63064875416751</v>
      </c>
      <c r="M59" s="5" t="n">
        <v>0.36935124583249</v>
      </c>
      <c r="N59" s="5" t="n">
        <v>0</v>
      </c>
      <c r="O59" s="7" t="n">
        <f aca="false">G59</f>
        <v>0.813460639655629</v>
      </c>
      <c r="P59" s="7" t="n">
        <f aca="false">L59*G59+M59*H59+N59*I59</f>
        <v>0.735159515975018</v>
      </c>
      <c r="Q59" s="7" t="n">
        <f aca="false">K59*O59+(1-K59)*P59</f>
        <v>0.789524595809617</v>
      </c>
      <c r="R59" s="7" t="n">
        <f aca="false">Q59-C59</f>
        <v>2.69784194983913E-014</v>
      </c>
      <c r="S59" s="10" t="n">
        <f aca="false">J59*Q59</f>
        <v>38836.714867875</v>
      </c>
    </row>
    <row r="60" customFormat="false" ht="15" hidden="false" customHeight="false" outlineLevel="0" collapsed="false">
      <c r="A60" s="0" t="s">
        <v>41</v>
      </c>
      <c r="B60" s="0" t="s">
        <v>12</v>
      </c>
      <c r="C60" s="5" t="n">
        <v>0.883071103032333</v>
      </c>
      <c r="D60" s="2" t="n">
        <v>2.19738430963054</v>
      </c>
      <c r="E60" s="2" t="n">
        <v>-1.06108530551271</v>
      </c>
      <c r="F60" s="2" t="n">
        <v>-1.95389171371362</v>
      </c>
      <c r="G60" s="7" t="n">
        <f aca="false">1/(1+EXP(-D60))</f>
        <v>0.900014374987999</v>
      </c>
      <c r="H60" s="7" t="n">
        <f aca="false">1/(1+EXP(-(D60+E60)))</f>
        <v>0.756999483836973</v>
      </c>
      <c r="I60" s="7" t="n">
        <f aca="false">1/(1+EXP(-(D60+F60)))</f>
        <v>0.560574164287633</v>
      </c>
      <c r="J60" s="9" t="n">
        <v>16843</v>
      </c>
      <c r="K60" s="5" t="n">
        <v>0.737873300480912</v>
      </c>
      <c r="L60" s="5" t="n">
        <v>0.548035043644866</v>
      </c>
      <c r="M60" s="5" t="n">
        <v>0.451964956355134</v>
      </c>
      <c r="N60" s="5" t="n">
        <v>0</v>
      </c>
      <c r="O60" s="7" t="n">
        <f aca="false">G60</f>
        <v>0.900014374987999</v>
      </c>
      <c r="P60" s="7" t="n">
        <f aca="false">L60*G60+M60*H60+N60*I60</f>
        <v>0.835376655950791</v>
      </c>
      <c r="Q60" s="7" t="n">
        <f aca="false">K60*O60+(1-K60)*P60</f>
        <v>0.883071103032333</v>
      </c>
      <c r="R60" s="7" t="n">
        <f aca="false">Q60-C60</f>
        <v>0</v>
      </c>
      <c r="S60" s="10" t="n">
        <f aca="false">J60*Q60</f>
        <v>14873.5665883736</v>
      </c>
    </row>
    <row r="61" customFormat="false" ht="15" hidden="false" customHeight="false" outlineLevel="0" collapsed="false">
      <c r="A61" s="0" t="s">
        <v>41</v>
      </c>
      <c r="B61" s="0" t="s">
        <v>13</v>
      </c>
      <c r="C61" s="5" t="n">
        <v>0.987800815108713</v>
      </c>
      <c r="D61" s="2" t="n">
        <v>4.56020266278149</v>
      </c>
      <c r="E61" s="2" t="n">
        <v>-1.06108530551271</v>
      </c>
      <c r="F61" s="2" t="n">
        <v>-1.95389171371362</v>
      </c>
      <c r="G61" s="7" t="n">
        <f aca="false">1/(1+EXP(-D61))</f>
        <v>0.989648338854676</v>
      </c>
      <c r="H61" s="7" t="n">
        <f aca="false">1/(1+EXP(-(D61+E61)))</f>
        <v>0.970662644957701</v>
      </c>
      <c r="I61" s="7" t="n">
        <f aca="false">1/(1+EXP(-(D61+F61)))</f>
        <v>0.931266638845589</v>
      </c>
      <c r="J61" s="9" t="n">
        <v>13207</v>
      </c>
      <c r="K61" s="5" t="n">
        <v>0.841977739077762</v>
      </c>
      <c r="L61" s="5" t="n">
        <v>0.384192061377789</v>
      </c>
      <c r="M61" s="5" t="n">
        <v>0.615807938622212</v>
      </c>
      <c r="N61" s="5" t="n">
        <v>0</v>
      </c>
      <c r="O61" s="7" t="n">
        <f aca="false">G61</f>
        <v>0.989648338854676</v>
      </c>
      <c r="P61" s="7" t="n">
        <f aca="false">L61*G61+M61*H61+N61*I61</f>
        <v>0.977956797832668</v>
      </c>
      <c r="Q61" s="7" t="n">
        <f aca="false">K61*O61+(1-K61)*P61</f>
        <v>0.987800815108713</v>
      </c>
      <c r="R61" s="7" t="n">
        <f aca="false">Q61-C61</f>
        <v>0</v>
      </c>
      <c r="S61" s="10" t="n">
        <f aca="false">J61*Q61</f>
        <v>13045.8853651408</v>
      </c>
    </row>
    <row r="62" customFormat="false" ht="15" hidden="false" customHeight="false" outlineLevel="0" collapsed="false">
      <c r="A62" s="0" t="s">
        <v>42</v>
      </c>
      <c r="B62" s="0" t="s">
        <v>8</v>
      </c>
      <c r="C62" s="5" t="n">
        <v>0.146595981100714</v>
      </c>
      <c r="D62" s="2" t="n">
        <v>-1.03534144178794</v>
      </c>
      <c r="E62" s="2" t="n">
        <v>-1.06108530551271</v>
      </c>
      <c r="F62" s="2" t="n">
        <v>-1.95389171371362</v>
      </c>
      <c r="G62" s="7" t="n">
        <f aca="false">1/(1+EXP(-D62))</f>
        <v>0.262049865522101</v>
      </c>
      <c r="H62" s="7" t="n">
        <f aca="false">1/(1+EXP(-(D62+E62)))</f>
        <v>0.109444607853813</v>
      </c>
      <c r="I62" s="7" t="n">
        <f aca="false">1/(1+EXP(-(D62+F62)))</f>
        <v>0.0479146602854696</v>
      </c>
      <c r="J62" s="9" t="n">
        <v>108985</v>
      </c>
      <c r="K62" s="5" t="n">
        <v>0.295251640133963</v>
      </c>
      <c r="L62" s="5" t="n">
        <v>0</v>
      </c>
      <c r="M62" s="5" t="n">
        <v>0.817688911295817</v>
      </c>
      <c r="N62" s="5" t="n">
        <v>0.182311088704183</v>
      </c>
      <c r="O62" s="7" t="n">
        <f aca="false">G62</f>
        <v>0.262049865522101</v>
      </c>
      <c r="P62" s="7" t="n">
        <f aca="false">L62*G62+M62*H62+N62*I62</f>
        <v>0.0982270161247169</v>
      </c>
      <c r="Q62" s="7" t="n">
        <f aca="false">K62*O62+(1-K62)*P62</f>
        <v>0.146595981100714</v>
      </c>
      <c r="R62" s="7" t="n">
        <f aca="false">Q62-C62</f>
        <v>0</v>
      </c>
      <c r="S62" s="10" t="n">
        <f aca="false">J62*Q62</f>
        <v>15976.7630002613</v>
      </c>
    </row>
    <row r="63" customFormat="false" ht="15" hidden="false" customHeight="false" outlineLevel="0" collapsed="false">
      <c r="A63" s="0" t="s">
        <v>42</v>
      </c>
      <c r="B63" s="0" t="s">
        <v>9</v>
      </c>
      <c r="C63" s="5" t="n">
        <v>0.30276574267699</v>
      </c>
      <c r="D63" s="2" t="n">
        <v>-0.321744347835934</v>
      </c>
      <c r="E63" s="2" t="n">
        <v>-1.06108530551271</v>
      </c>
      <c r="F63" s="2" t="n">
        <v>-1.95389171371362</v>
      </c>
      <c r="G63" s="7" t="n">
        <f aca="false">1/(1+EXP(-D63))</f>
        <v>0.420250695838496</v>
      </c>
      <c r="H63" s="7" t="n">
        <f aca="false">1/(1+EXP(-(D63+E63)))</f>
        <v>0.20055492948883</v>
      </c>
      <c r="I63" s="7" t="n">
        <f aca="false">1/(1+EXP(-(D63+F63)))</f>
        <v>0.0931609734186529</v>
      </c>
      <c r="J63" s="9" t="n">
        <v>72493</v>
      </c>
      <c r="K63" s="5" t="n">
        <v>0.072903590691515</v>
      </c>
      <c r="L63" s="5" t="n">
        <v>0.443572850268156</v>
      </c>
      <c r="M63" s="5" t="n">
        <v>0.514722137092222</v>
      </c>
      <c r="N63" s="5" t="n">
        <v>0.0417050126396217</v>
      </c>
      <c r="O63" s="7" t="n">
        <f aca="false">G63</f>
        <v>0.420250695838496</v>
      </c>
      <c r="P63" s="7" t="n">
        <f aca="false">L63*G63+M63*H63+N63*I63</f>
        <v>0.293527140465072</v>
      </c>
      <c r="Q63" s="7" t="n">
        <f aca="false">K63*O63+(1-K63)*P63</f>
        <v>0.30276574267699</v>
      </c>
      <c r="R63" s="7" t="n">
        <f aca="false">Q63-C63</f>
        <v>0</v>
      </c>
      <c r="S63" s="10" t="n">
        <f aca="false">J63*Q63</f>
        <v>21948.396983883</v>
      </c>
    </row>
    <row r="64" customFormat="false" ht="15" hidden="false" customHeight="false" outlineLevel="0" collapsed="false">
      <c r="A64" s="0" t="s">
        <v>42</v>
      </c>
      <c r="B64" s="0" t="s">
        <v>10</v>
      </c>
      <c r="C64" s="5" t="n">
        <v>0.503122801313745</v>
      </c>
      <c r="D64" s="2" t="n">
        <v>0.624198416186816</v>
      </c>
      <c r="E64" s="2" t="n">
        <v>-1.06108530551271</v>
      </c>
      <c r="F64" s="2" t="n">
        <v>-1.95389171371362</v>
      </c>
      <c r="G64" s="7" t="n">
        <f aca="false">1/(1+EXP(-D64))</f>
        <v>0.651172809553429</v>
      </c>
      <c r="H64" s="7" t="n">
        <f aca="false">1/(1+EXP(-(D64+E64)))</f>
        <v>0.392483010694948</v>
      </c>
      <c r="I64" s="7" t="n">
        <f aca="false">1/(1+EXP(-(D64+F64)))</f>
        <v>0.20921010192366</v>
      </c>
      <c r="J64" s="9" t="n">
        <v>72000</v>
      </c>
      <c r="K64" s="5" t="n">
        <v>0.338513888888889</v>
      </c>
      <c r="L64" s="5" t="n">
        <v>0.165399111259725</v>
      </c>
      <c r="M64" s="5" t="n">
        <v>0.791433027768422</v>
      </c>
      <c r="N64" s="5" t="n">
        <v>0.0431678609718524</v>
      </c>
      <c r="O64" s="7" t="n">
        <f aca="false">G64</f>
        <v>0.651172809553429</v>
      </c>
      <c r="P64" s="7" t="n">
        <f aca="false">L64*G64+M64*H64+N64*I64</f>
        <v>0.427358574072352</v>
      </c>
      <c r="Q64" s="7" t="n">
        <f aca="false">K64*O64+(1-K64)*P64</f>
        <v>0.503122801313745</v>
      </c>
      <c r="R64" s="7" t="n">
        <f aca="false">Q64-C64</f>
        <v>0</v>
      </c>
      <c r="S64" s="10" t="n">
        <f aca="false">J64*Q64</f>
        <v>36224.8416945896</v>
      </c>
    </row>
    <row r="65" customFormat="false" ht="15" hidden="false" customHeight="false" outlineLevel="0" collapsed="false">
      <c r="A65" s="0" t="s">
        <v>42</v>
      </c>
      <c r="B65" s="0" t="s">
        <v>11</v>
      </c>
      <c r="C65" s="5" t="n">
        <v>0.804202522846915</v>
      </c>
      <c r="D65" s="2" t="n">
        <v>1.56585526514305</v>
      </c>
      <c r="E65" s="2" t="n">
        <v>-1.06108530551271</v>
      </c>
      <c r="F65" s="2" t="n">
        <v>-1.95389171371362</v>
      </c>
      <c r="G65" s="7" t="n">
        <f aca="false">1/(1+EXP(-D65))</f>
        <v>0.827191940564747</v>
      </c>
      <c r="H65" s="7" t="n">
        <f aca="false">1/(1+EXP(-(D65+E65)))</f>
        <v>0.623579632900472</v>
      </c>
      <c r="I65" s="7" t="n">
        <f aca="false">1/(1+EXP(-(D65+F65)))</f>
        <v>0.404190074964433</v>
      </c>
      <c r="J65" s="9" t="n">
        <v>49190</v>
      </c>
      <c r="K65" s="5" t="n">
        <v>0.694307786135393</v>
      </c>
      <c r="L65" s="5" t="n">
        <v>0.63064875416751</v>
      </c>
      <c r="M65" s="5" t="n">
        <v>0.36935124583249</v>
      </c>
      <c r="N65" s="5" t="n">
        <v>0</v>
      </c>
      <c r="O65" s="7" t="n">
        <f aca="false">G65</f>
        <v>0.827191940564747</v>
      </c>
      <c r="P65" s="7" t="n">
        <f aca="false">L65*G65+M65*H65+N65*I65</f>
        <v>0.751987481062119</v>
      </c>
      <c r="Q65" s="7" t="n">
        <f aca="false">K65*O65+(1-K65)*P65</f>
        <v>0.804202522846897</v>
      </c>
      <c r="R65" s="7" t="n">
        <f aca="false">Q65-C65</f>
        <v>-1.83186799063151E-014</v>
      </c>
      <c r="S65" s="10" t="n">
        <f aca="false">J65*Q65</f>
        <v>39558.7220988389</v>
      </c>
    </row>
    <row r="66" customFormat="false" ht="15" hidden="false" customHeight="false" outlineLevel="0" collapsed="false">
      <c r="A66" s="0" t="s">
        <v>42</v>
      </c>
      <c r="B66" s="0" t="s">
        <v>12</v>
      </c>
      <c r="C66" s="5" t="n">
        <v>0.890321630274183</v>
      </c>
      <c r="D66" s="2" t="n">
        <v>2.2710678429566</v>
      </c>
      <c r="E66" s="2" t="n">
        <v>-1.06108530551271</v>
      </c>
      <c r="F66" s="2" t="n">
        <v>-1.95389171371362</v>
      </c>
      <c r="G66" s="7" t="n">
        <f aca="false">1/(1+EXP(-D66))</f>
        <v>0.90645237638027</v>
      </c>
      <c r="H66" s="7" t="n">
        <f aca="false">1/(1+EXP(-(D66+E66)))</f>
        <v>0.770295859233915</v>
      </c>
      <c r="I66" s="7" t="n">
        <f aca="false">1/(1+EXP(-(D66+F66)))</f>
        <v>0.57863589947132</v>
      </c>
      <c r="J66" s="9" t="n">
        <v>16843</v>
      </c>
      <c r="K66" s="5" t="n">
        <v>0.737873300480912</v>
      </c>
      <c r="L66" s="5" t="n">
        <v>0.548035043644866</v>
      </c>
      <c r="M66" s="5" t="n">
        <v>0.451964956355134</v>
      </c>
      <c r="N66" s="5" t="n">
        <v>0</v>
      </c>
      <c r="O66" s="7" t="n">
        <f aca="false">G66</f>
        <v>0.90645237638027</v>
      </c>
      <c r="P66" s="7" t="n">
        <f aca="false">L66*G66+M66*H66+N66*I66</f>
        <v>0.844914402050751</v>
      </c>
      <c r="Q66" s="7" t="n">
        <f aca="false">K66*O66+(1-K66)*P66</f>
        <v>0.890321630274182</v>
      </c>
      <c r="R66" s="7" t="n">
        <f aca="false">Q66-C66</f>
        <v>0</v>
      </c>
      <c r="S66" s="10" t="n">
        <f aca="false">J66*Q66</f>
        <v>14995.6872187081</v>
      </c>
    </row>
    <row r="67" customFormat="false" ht="15" hidden="false" customHeight="false" outlineLevel="0" collapsed="false">
      <c r="A67" s="0" t="s">
        <v>42</v>
      </c>
      <c r="B67" s="0" t="s">
        <v>13</v>
      </c>
      <c r="C67" s="5" t="n">
        <v>0.989872311904282</v>
      </c>
      <c r="D67" s="2" t="n">
        <v>4.74884738975191</v>
      </c>
      <c r="E67" s="2" t="n">
        <v>-1.06108530551271</v>
      </c>
      <c r="F67" s="2" t="n">
        <v>-1.95389171371362</v>
      </c>
      <c r="G67" s="7" t="n">
        <f aca="false">1/(1+EXP(-D67))</f>
        <v>0.991412707336063</v>
      </c>
      <c r="H67" s="7" t="n">
        <f aca="false">1/(1+EXP(-(D67+E67)))</f>
        <v>0.975583153744671</v>
      </c>
      <c r="I67" s="7" t="n">
        <f aca="false">1/(1+EXP(-(D67+F67)))</f>
        <v>0.942402628878307</v>
      </c>
      <c r="J67" s="9" t="n">
        <v>13207</v>
      </c>
      <c r="K67" s="5" t="n">
        <v>0.841977739077762</v>
      </c>
      <c r="L67" s="5" t="n">
        <v>0.384192061377789</v>
      </c>
      <c r="M67" s="5" t="n">
        <v>0.615807938622212</v>
      </c>
      <c r="N67" s="5" t="n">
        <v>0</v>
      </c>
      <c r="O67" s="7" t="n">
        <f aca="false">G67</f>
        <v>0.991412707336063</v>
      </c>
      <c r="P67" s="7" t="n">
        <f aca="false">L67*G67+M67*H67+N67*I67</f>
        <v>0.981664742569638</v>
      </c>
      <c r="Q67" s="7" t="n">
        <f aca="false">K67*O67+(1-K67)*P67</f>
        <v>0.989872311904282</v>
      </c>
      <c r="R67" s="7" t="n">
        <f aca="false">Q67-C67</f>
        <v>0</v>
      </c>
      <c r="S67" s="10" t="n">
        <f aca="false">J67*Q67</f>
        <v>13073.2436233199</v>
      </c>
    </row>
    <row r="68" customFormat="false" ht="15" hidden="false" customHeight="false" outlineLevel="0" collapsed="false">
      <c r="A68" s="0" t="s">
        <v>43</v>
      </c>
      <c r="B68" s="0" t="s">
        <v>8</v>
      </c>
      <c r="C68" s="5" t="n">
        <v>0.162002827493082</v>
      </c>
      <c r="D68" s="2" t="n">
        <v>-0.911006097851976</v>
      </c>
      <c r="E68" s="2" t="n">
        <v>-1.06108530551271</v>
      </c>
      <c r="F68" s="2" t="n">
        <v>-1.95389171371362</v>
      </c>
      <c r="G68" s="7" t="n">
        <f aca="false">1/(1+EXP(-D68))</f>
        <v>0.286794002635441</v>
      </c>
      <c r="H68" s="7" t="n">
        <f aca="false">1/(1+EXP(-(D68+E68)))</f>
        <v>0.122164426853396</v>
      </c>
      <c r="I68" s="7" t="n">
        <f aca="false">1/(1+EXP(-(D68+F68)))</f>
        <v>0.0539163197560244</v>
      </c>
      <c r="J68" s="9" t="n">
        <v>108985</v>
      </c>
      <c r="K68" s="5" t="n">
        <v>0.295251640133963</v>
      </c>
      <c r="L68" s="5" t="n">
        <v>0</v>
      </c>
      <c r="M68" s="5" t="n">
        <v>0.817688911295817</v>
      </c>
      <c r="N68" s="5" t="n">
        <v>0.182311088704183</v>
      </c>
      <c r="O68" s="7" t="n">
        <f aca="false">G68</f>
        <v>0.286794002635441</v>
      </c>
      <c r="P68" s="7" t="n">
        <f aca="false">L68*G68+M68*H68+N68*I68</f>
        <v>0.109722040146474</v>
      </c>
      <c r="Q68" s="7" t="n">
        <f aca="false">K68*O68+(1-K68)*P68</f>
        <v>0.162002827493082</v>
      </c>
      <c r="R68" s="7" t="n">
        <f aca="false">Q68-C68</f>
        <v>0</v>
      </c>
      <c r="S68" s="10" t="n">
        <f aca="false">J68*Q68</f>
        <v>17655.8781543335</v>
      </c>
    </row>
    <row r="69" customFormat="false" ht="15" hidden="false" customHeight="false" outlineLevel="0" collapsed="false">
      <c r="A69" s="0" t="s">
        <v>43</v>
      </c>
      <c r="B69" s="0" t="s">
        <v>9</v>
      </c>
      <c r="C69" s="5" t="n">
        <v>0.310806810008055</v>
      </c>
      <c r="D69" s="2" t="n">
        <v>-0.281352697049953</v>
      </c>
      <c r="E69" s="2" t="n">
        <v>-1.06108530551271</v>
      </c>
      <c r="F69" s="2" t="n">
        <v>-1.95389171371362</v>
      </c>
      <c r="G69" s="7" t="n">
        <f aca="false">1/(1+EXP(-D69))</f>
        <v>0.430122175603217</v>
      </c>
      <c r="H69" s="7" t="n">
        <f aca="false">1/(1+EXP(-(D69+E69)))</f>
        <v>0.207109415823401</v>
      </c>
      <c r="I69" s="7" t="n">
        <f aca="false">1/(1+EXP(-(D69+F69)))</f>
        <v>0.0966298736014602</v>
      </c>
      <c r="J69" s="9" t="n">
        <v>72493</v>
      </c>
      <c r="K69" s="5" t="n">
        <v>0.072903590691515</v>
      </c>
      <c r="L69" s="5" t="n">
        <v>0.443572850268156</v>
      </c>
      <c r="M69" s="5" t="n">
        <v>0.514722137092222</v>
      </c>
      <c r="N69" s="5" t="n">
        <v>0.0417050126396217</v>
      </c>
      <c r="O69" s="7" t="n">
        <f aca="false">G69</f>
        <v>0.430122175603217</v>
      </c>
      <c r="P69" s="7" t="n">
        <f aca="false">L69*G69+M69*H69+N69*I69</f>
        <v>0.301424270620316</v>
      </c>
      <c r="Q69" s="7" t="n">
        <f aca="false">K69*O69+(1-K69)*P69</f>
        <v>0.310806810008045</v>
      </c>
      <c r="R69" s="7" t="n">
        <f aca="false">Q69-C69</f>
        <v>-1.02695629777827E-014</v>
      </c>
      <c r="S69" s="10" t="n">
        <f aca="false">J69*Q69</f>
        <v>22531.3180779132</v>
      </c>
    </row>
    <row r="70" customFormat="false" ht="15" hidden="false" customHeight="false" outlineLevel="0" collapsed="false">
      <c r="A70" s="0" t="s">
        <v>43</v>
      </c>
      <c r="B70" s="0" t="s">
        <v>10</v>
      </c>
      <c r="C70" s="5" t="n">
        <v>0.521468502656956</v>
      </c>
      <c r="D70" s="2" t="n">
        <v>0.703563624190707</v>
      </c>
      <c r="E70" s="2" t="n">
        <v>-1.06108530551271</v>
      </c>
      <c r="F70" s="2" t="n">
        <v>-1.95389171371362</v>
      </c>
      <c r="G70" s="7" t="n">
        <f aca="false">1/(1+EXP(-D70))</f>
        <v>0.668977399421752</v>
      </c>
      <c r="H70" s="7" t="n">
        <f aca="false">1/(1+EXP(-(D70+E70)))</f>
        <v>0.411559629116572</v>
      </c>
      <c r="I70" s="7" t="n">
        <f aca="false">1/(1+EXP(-(D70+F70)))</f>
        <v>0.22264335012543</v>
      </c>
      <c r="J70" s="9" t="n">
        <v>72000</v>
      </c>
      <c r="K70" s="5" t="n">
        <v>0.338513888888889</v>
      </c>
      <c r="L70" s="5" t="n">
        <v>0.165399111259725</v>
      </c>
      <c r="M70" s="5" t="n">
        <v>0.791433027768422</v>
      </c>
      <c r="N70" s="5" t="n">
        <v>0.0431678609718524</v>
      </c>
      <c r="O70" s="7" t="n">
        <f aca="false">G70</f>
        <v>0.668977399421752</v>
      </c>
      <c r="P70" s="7" t="n">
        <f aca="false">L70*G70+M70*H70+N70*I70</f>
        <v>0.4459811878807</v>
      </c>
      <c r="Q70" s="7" t="n">
        <f aca="false">K70*O70+(1-K70)*P70</f>
        <v>0.521468502656951</v>
      </c>
      <c r="R70" s="7" t="n">
        <f aca="false">Q70-C70</f>
        <v>-4.9960036108132E-015</v>
      </c>
      <c r="S70" s="10" t="n">
        <f aca="false">J70*Q70</f>
        <v>37545.7321913005</v>
      </c>
    </row>
    <row r="71" customFormat="false" ht="15" hidden="false" customHeight="false" outlineLevel="0" collapsed="false">
      <c r="A71" s="0" t="s">
        <v>43</v>
      </c>
      <c r="B71" s="0" t="s">
        <v>11</v>
      </c>
      <c r="C71" s="5" t="n">
        <v>0.818092692369169</v>
      </c>
      <c r="D71" s="2" t="n">
        <v>1.65898266119515</v>
      </c>
      <c r="E71" s="2" t="n">
        <v>-1.06108530551271</v>
      </c>
      <c r="F71" s="2" t="n">
        <v>-1.95389171371362</v>
      </c>
      <c r="G71" s="7" t="n">
        <f aca="false">1/(1+EXP(-D71))</f>
        <v>0.840101390151771</v>
      </c>
      <c r="H71" s="7" t="n">
        <f aca="false">1/(1+EXP(-(D71+E71)))</f>
        <v>0.64517510714627</v>
      </c>
      <c r="I71" s="7" t="n">
        <f aca="false">1/(1+EXP(-(D71+F71)))</f>
        <v>0.426802476756959</v>
      </c>
      <c r="J71" s="9" t="n">
        <v>49190</v>
      </c>
      <c r="K71" s="5" t="n">
        <v>0.694307786135393</v>
      </c>
      <c r="L71" s="5" t="n">
        <v>0.63064875416751</v>
      </c>
      <c r="M71" s="5" t="n">
        <v>0.36935124583249</v>
      </c>
      <c r="N71" s="5" t="n">
        <v>0</v>
      </c>
      <c r="O71" s="7" t="n">
        <f aca="false">G71</f>
        <v>0.840101390151771</v>
      </c>
      <c r="P71" s="7" t="n">
        <f aca="false">L71*G71+M71*H71+N71*I71</f>
        <v>0.768105124678193</v>
      </c>
      <c r="Q71" s="7" t="n">
        <f aca="false">K71*O71+(1-K71)*P71</f>
        <v>0.818092692369169</v>
      </c>
      <c r="R71" s="7" t="n">
        <f aca="false">Q71-C71</f>
        <v>0</v>
      </c>
      <c r="S71" s="10" t="n">
        <f aca="false">J71*Q71</f>
        <v>40241.9795376394</v>
      </c>
    </row>
    <row r="72" customFormat="false" ht="15" hidden="false" customHeight="false" outlineLevel="0" collapsed="false">
      <c r="A72" s="0" t="s">
        <v>43</v>
      </c>
      <c r="B72" s="0" t="s">
        <v>12</v>
      </c>
      <c r="C72" s="5" t="n">
        <v>0.89717491729657</v>
      </c>
      <c r="D72" s="2" t="n">
        <v>2.34468684761514</v>
      </c>
      <c r="E72" s="2" t="n">
        <v>-1.06108530551271</v>
      </c>
      <c r="F72" s="2" t="n">
        <v>-1.95389171371362</v>
      </c>
      <c r="G72" s="7" t="n">
        <f aca="false">1/(1+EXP(-D72))</f>
        <v>0.912510982325542</v>
      </c>
      <c r="H72" s="7" t="n">
        <f aca="false">1/(1+EXP(-(D72+E72)))</f>
        <v>0.78306221490078</v>
      </c>
      <c r="I72" s="7" t="n">
        <f aca="false">1/(1+EXP(-(D72+F72)))</f>
        <v>0.596474096933062</v>
      </c>
      <c r="J72" s="9" t="n">
        <v>16843</v>
      </c>
      <c r="K72" s="5" t="n">
        <v>0.737873300480912</v>
      </c>
      <c r="L72" s="5" t="n">
        <v>0.548035043644866</v>
      </c>
      <c r="M72" s="5" t="n">
        <v>0.451964956355134</v>
      </c>
      <c r="N72" s="5" t="n">
        <v>0</v>
      </c>
      <c r="O72" s="7" t="n">
        <f aca="false">G72</f>
        <v>0.912510982325542</v>
      </c>
      <c r="P72" s="7" t="n">
        <f aca="false">L72*G72+M72*H72+N72*I72</f>
        <v>0.854004675806183</v>
      </c>
      <c r="Q72" s="7" t="n">
        <f aca="false">K72*O72+(1-K72)*P72</f>
        <v>0.89717491729657</v>
      </c>
      <c r="R72" s="7" t="n">
        <f aca="false">Q72-C72</f>
        <v>0</v>
      </c>
      <c r="S72" s="10" t="n">
        <f aca="false">J72*Q72</f>
        <v>15111.1171320261</v>
      </c>
    </row>
    <row r="73" customFormat="false" ht="15" hidden="false" customHeight="false" outlineLevel="0" collapsed="false">
      <c r="A73" s="0" t="s">
        <v>43</v>
      </c>
      <c r="B73" s="0" t="s">
        <v>13</v>
      </c>
      <c r="C73" s="5" t="n">
        <v>0.991595048752448</v>
      </c>
      <c r="D73" s="2" t="n">
        <v>4.93741708742188</v>
      </c>
      <c r="E73" s="2" t="n">
        <v>-1.06108530551271</v>
      </c>
      <c r="F73" s="2" t="n">
        <v>-1.95389171371362</v>
      </c>
      <c r="G73" s="7" t="n">
        <f aca="false">1/(1+EXP(-D73))</f>
        <v>0.99287798497918</v>
      </c>
      <c r="H73" s="7" t="n">
        <f aca="false">1/(1+EXP(-(D73+E73)))</f>
        <v>0.97969415741361</v>
      </c>
      <c r="I73" s="7" t="n">
        <f aca="false">1/(1+EXP(-(D73+F73)))</f>
        <v>0.951824284378479</v>
      </c>
      <c r="J73" s="9" t="n">
        <v>13207</v>
      </c>
      <c r="K73" s="5" t="n">
        <v>0.841977739077762</v>
      </c>
      <c r="L73" s="5" t="n">
        <v>0.384192061377789</v>
      </c>
      <c r="M73" s="5" t="n">
        <v>0.615807938622212</v>
      </c>
      <c r="N73" s="5" t="n">
        <v>0</v>
      </c>
      <c r="O73" s="7" t="n">
        <f aca="false">G73</f>
        <v>0.99287798497918</v>
      </c>
      <c r="P73" s="7" t="n">
        <f aca="false">L73*G73+M73*H73+N73*I73</f>
        <v>0.984759279302876</v>
      </c>
      <c r="Q73" s="7" t="n">
        <f aca="false">K73*O73+(1-K73)*P73</f>
        <v>0.991595048752448</v>
      </c>
      <c r="R73" s="7" t="n">
        <f aca="false">Q73-C73</f>
        <v>0</v>
      </c>
      <c r="S73" s="10" t="n">
        <f aca="false">J73*Q73</f>
        <v>13095.9958088736</v>
      </c>
    </row>
    <row r="74" customFormat="false" ht="15" hidden="false" customHeight="false" outlineLevel="0" collapsed="false">
      <c r="A74" s="0" t="s">
        <v>44</v>
      </c>
      <c r="B74" s="0" t="s">
        <v>8</v>
      </c>
      <c r="C74" s="5" t="n">
        <v>0.178689852552716</v>
      </c>
      <c r="D74" s="2" t="n">
        <v>-0.786160531665371</v>
      </c>
      <c r="E74" s="2" t="n">
        <v>-1.06108530551271</v>
      </c>
      <c r="F74" s="2" t="n">
        <v>-1.95389171371362</v>
      </c>
      <c r="G74" s="7" t="n">
        <f aca="false">1/(1+EXP(-D74))</f>
        <v>0.312993671676116</v>
      </c>
      <c r="H74" s="7" t="n">
        <f aca="false">1/(1+EXP(-(D74+E74)))</f>
        <v>0.136196591685004</v>
      </c>
      <c r="I74" s="7" t="n">
        <f aca="false">1/(1+EXP(-(D74+F74)))</f>
        <v>0.0606509267031267</v>
      </c>
      <c r="J74" s="9" t="n">
        <v>108985</v>
      </c>
      <c r="K74" s="5" t="n">
        <v>0.295251640133963</v>
      </c>
      <c r="L74" s="5" t="n">
        <v>0</v>
      </c>
      <c r="M74" s="5" t="n">
        <v>0.817688911295817</v>
      </c>
      <c r="N74" s="5" t="n">
        <v>0.182311088704183</v>
      </c>
      <c r="O74" s="7" t="n">
        <f aca="false">G74</f>
        <v>0.312993671676116</v>
      </c>
      <c r="P74" s="7" t="n">
        <f aca="false">L74*G74+M74*H74+N74*I74</f>
        <v>0.122423779255277</v>
      </c>
      <c r="Q74" s="7" t="n">
        <f aca="false">K74*O74+(1-K74)*P74</f>
        <v>0.178689852552682</v>
      </c>
      <c r="R74" s="7" t="n">
        <f aca="false">Q74-C74</f>
        <v>-3.40560912803767E-014</v>
      </c>
      <c r="S74" s="10" t="n">
        <f aca="false">J74*Q74</f>
        <v>19474.5135804541</v>
      </c>
    </row>
    <row r="75" customFormat="false" ht="15" hidden="false" customHeight="false" outlineLevel="0" collapsed="false">
      <c r="A75" s="0" t="s">
        <v>44</v>
      </c>
      <c r="B75" s="0" t="s">
        <v>9</v>
      </c>
      <c r="C75" s="5" t="n">
        <v>0.318963740251017</v>
      </c>
      <c r="D75" s="2" t="n">
        <v>-0.240914303903274</v>
      </c>
      <c r="E75" s="2" t="n">
        <v>-1.06108530551271</v>
      </c>
      <c r="F75" s="2" t="n">
        <v>-1.95389171371362</v>
      </c>
      <c r="G75" s="7" t="n">
        <f aca="false">1/(1+EXP(-D75))</f>
        <v>0.44006104722508</v>
      </c>
      <c r="H75" s="7" t="n">
        <f aca="false">1/(1+EXP(-(D75+E75)))</f>
        <v>0.213828678316373</v>
      </c>
      <c r="I75" s="7" t="n">
        <f aca="false">1/(1+EXP(-(D75+F75)))</f>
        <v>0.100217881051867</v>
      </c>
      <c r="J75" s="9" t="n">
        <v>72493</v>
      </c>
      <c r="K75" s="5" t="n">
        <v>0.072903590691515</v>
      </c>
      <c r="L75" s="5" t="n">
        <v>0.443572850268156</v>
      </c>
      <c r="M75" s="5" t="n">
        <v>0.514722137092222</v>
      </c>
      <c r="N75" s="5" t="n">
        <v>0.0417050126396217</v>
      </c>
      <c r="O75" s="7" t="n">
        <f aca="false">G75</f>
        <v>0.44006104722508</v>
      </c>
      <c r="P75" s="7" t="n">
        <f aca="false">L75*G75+M75*H75+N75*I75</f>
        <v>0.309441075280211</v>
      </c>
      <c r="Q75" s="7" t="n">
        <f aca="false">K75*O75+(1-K75)*P75</f>
        <v>0.318963740251017</v>
      </c>
      <c r="R75" s="7" t="n">
        <f aca="false">Q75-C75</f>
        <v>0</v>
      </c>
      <c r="S75" s="10" t="n">
        <f aca="false">J75*Q75</f>
        <v>23122.638422017</v>
      </c>
    </row>
    <row r="76" customFormat="false" ht="15" hidden="false" customHeight="false" outlineLevel="0" collapsed="false">
      <c r="A76" s="0" t="s">
        <v>44</v>
      </c>
      <c r="B76" s="0" t="s">
        <v>10</v>
      </c>
      <c r="C76" s="5" t="n">
        <v>0.539756475135138</v>
      </c>
      <c r="D76" s="2" t="n">
        <v>0.782906496860835</v>
      </c>
      <c r="E76" s="2" t="n">
        <v>-1.06108530551271</v>
      </c>
      <c r="F76" s="2" t="n">
        <v>-1.95389171371362</v>
      </c>
      <c r="G76" s="7" t="n">
        <f aca="false">1/(1+EXP(-D76))</f>
        <v>0.686306192235</v>
      </c>
      <c r="H76" s="7" t="n">
        <f aca="false">1/(1+EXP(-(D76+E76)))</f>
        <v>0.43090032181773</v>
      </c>
      <c r="I76" s="7" t="n">
        <f aca="false">1/(1+EXP(-(D76+F76)))</f>
        <v>0.23667694786701</v>
      </c>
      <c r="J76" s="9" t="n">
        <v>72000</v>
      </c>
      <c r="K76" s="5" t="n">
        <v>0.338513888888889</v>
      </c>
      <c r="L76" s="5" t="n">
        <v>0.165399111259725</v>
      </c>
      <c r="M76" s="5" t="n">
        <v>0.791433027768422</v>
      </c>
      <c r="N76" s="5" t="n">
        <v>0.0431678609718524</v>
      </c>
      <c r="O76" s="7" t="n">
        <f aca="false">G76</f>
        <v>0.686306192235</v>
      </c>
      <c r="P76" s="7" t="n">
        <f aca="false">L76*G76+M76*H76+N76*I76</f>
        <v>0.464760018191074</v>
      </c>
      <c r="Q76" s="7" t="n">
        <f aca="false">K76*O76+(1-K76)*P76</f>
        <v>0.539756475135138</v>
      </c>
      <c r="R76" s="7" t="n">
        <f aca="false">Q76-C76</f>
        <v>0</v>
      </c>
      <c r="S76" s="10" t="n">
        <f aca="false">J76*Q76</f>
        <v>38862.4662097299</v>
      </c>
    </row>
    <row r="77" customFormat="false" ht="15" hidden="false" customHeight="false" outlineLevel="0" collapsed="false">
      <c r="A77" s="0" t="s">
        <v>44</v>
      </c>
      <c r="B77" s="0" t="s">
        <v>11</v>
      </c>
      <c r="C77" s="5" t="n">
        <v>0.83120429767063</v>
      </c>
      <c r="D77" s="2" t="n">
        <v>1.75203041451825</v>
      </c>
      <c r="E77" s="2" t="n">
        <v>-1.06108530551271</v>
      </c>
      <c r="F77" s="2" t="n">
        <v>-1.95389171371362</v>
      </c>
      <c r="G77" s="7" t="n">
        <f aca="false">1/(1+EXP(-D77))</f>
        <v>0.852208713613346</v>
      </c>
      <c r="H77" s="7" t="n">
        <f aca="false">1/(1+EXP(-(D77+E77)))</f>
        <v>0.666177137967299</v>
      </c>
      <c r="I77" s="7" t="n">
        <f aca="false">1/(1+EXP(-(D77+F77)))</f>
        <v>0.449705343151814</v>
      </c>
      <c r="J77" s="9" t="n">
        <v>49190</v>
      </c>
      <c r="K77" s="5" t="n">
        <v>0.694307786135393</v>
      </c>
      <c r="L77" s="5" t="n">
        <v>0.63064875416751</v>
      </c>
      <c r="M77" s="5" t="n">
        <v>0.36935124583249</v>
      </c>
      <c r="N77" s="5" t="n">
        <v>0</v>
      </c>
      <c r="O77" s="7" t="n">
        <f aca="false">G77</f>
        <v>0.852208713613346</v>
      </c>
      <c r="P77" s="7" t="n">
        <f aca="false">L77*G77+M77*H77+N77*I77</f>
        <v>0.783497719384298</v>
      </c>
      <c r="Q77" s="7" t="n">
        <f aca="false">K77*O77+(1-K77)*P77</f>
        <v>0.83120429767063</v>
      </c>
      <c r="R77" s="7" t="n">
        <f aca="false">Q77-C77</f>
        <v>0</v>
      </c>
      <c r="S77" s="10" t="n">
        <f aca="false">J77*Q77</f>
        <v>40886.9394024183</v>
      </c>
    </row>
    <row r="78" customFormat="false" ht="15" hidden="false" customHeight="false" outlineLevel="0" collapsed="false">
      <c r="A78" s="0" t="s">
        <v>44</v>
      </c>
      <c r="B78" s="0" t="s">
        <v>12</v>
      </c>
      <c r="C78" s="5" t="n">
        <v>0.903646319053514</v>
      </c>
      <c r="D78" s="2" t="n">
        <v>2.41824180843672</v>
      </c>
      <c r="E78" s="2" t="n">
        <v>-1.06108530551271</v>
      </c>
      <c r="F78" s="2" t="n">
        <v>-1.95389171371362</v>
      </c>
      <c r="G78" s="7" t="n">
        <f aca="false">1/(1+EXP(-D78))</f>
        <v>0.918207797470206</v>
      </c>
      <c r="H78" s="7" t="n">
        <f aca="false">1/(1+EXP(-(D78+E78)))</f>
        <v>0.795297166264478</v>
      </c>
      <c r="I78" s="7" t="n">
        <f aca="false">1/(1+EXP(-(D78+F78)))</f>
        <v>0.614045630810114</v>
      </c>
      <c r="J78" s="9" t="n">
        <v>16843</v>
      </c>
      <c r="K78" s="5" t="n">
        <v>0.737873300480912</v>
      </c>
      <c r="L78" s="5" t="n">
        <v>0.548035043644866</v>
      </c>
      <c r="M78" s="5" t="n">
        <v>0.451964956355134</v>
      </c>
      <c r="N78" s="5" t="n">
        <v>0</v>
      </c>
      <c r="O78" s="7" t="n">
        <f aca="false">G78</f>
        <v>0.918207797470206</v>
      </c>
      <c r="P78" s="7" t="n">
        <f aca="false">L78*G78+M78*H78+N78*I78</f>
        <v>0.862656499401727</v>
      </c>
      <c r="Q78" s="7" t="n">
        <f aca="false">K78*O78+(1-K78)*P78</f>
        <v>0.903646319053514</v>
      </c>
      <c r="R78" s="7" t="n">
        <f aca="false">Q78-C78</f>
        <v>0</v>
      </c>
      <c r="S78" s="10" t="n">
        <f aca="false">J78*Q78</f>
        <v>15220.1149518183</v>
      </c>
    </row>
    <row r="79" customFormat="false" ht="15" hidden="false" customHeight="false" outlineLevel="0" collapsed="false">
      <c r="A79" s="0" t="s">
        <v>44</v>
      </c>
      <c r="B79" s="0" t="s">
        <v>13</v>
      </c>
      <c r="C79" s="5" t="n">
        <v>0.993026809487272</v>
      </c>
      <c r="D79" s="2" t="n">
        <v>5.12592376193258</v>
      </c>
      <c r="E79" s="2" t="n">
        <v>-1.06108530551271</v>
      </c>
      <c r="F79" s="2" t="n">
        <v>-1.95389171371362</v>
      </c>
      <c r="G79" s="7" t="n">
        <f aca="false">1/(1+EXP(-D79))</f>
        <v>0.994094356810454</v>
      </c>
      <c r="H79" s="7" t="n">
        <f aca="false">1/(1+EXP(-(D79+E79)))</f>
        <v>0.983123928558715</v>
      </c>
      <c r="I79" s="7" t="n">
        <f aca="false">1/(1+EXP(-(D79+F79)))</f>
        <v>0.959768121960184</v>
      </c>
      <c r="J79" s="9" t="n">
        <v>13207</v>
      </c>
      <c r="K79" s="5" t="n">
        <v>0.841977739077762</v>
      </c>
      <c r="L79" s="5" t="n">
        <v>0.384192061377789</v>
      </c>
      <c r="M79" s="5" t="n">
        <v>0.615807938622212</v>
      </c>
      <c r="N79" s="5" t="n">
        <v>0</v>
      </c>
      <c r="O79" s="7" t="n">
        <f aca="false">G79</f>
        <v>0.994094356810454</v>
      </c>
      <c r="P79" s="7" t="n">
        <f aca="false">L79*G79+M79*H79+N79*I79</f>
        <v>0.987338680002948</v>
      </c>
      <c r="Q79" s="7" t="n">
        <f aca="false">K79*O79+(1-K79)*P79</f>
        <v>0.993026809487272</v>
      </c>
      <c r="R79" s="7" t="n">
        <f aca="false">Q79-C79</f>
        <v>0</v>
      </c>
      <c r="S79" s="10" t="n">
        <f aca="false">J79*Q79</f>
        <v>13114.9050728984</v>
      </c>
    </row>
    <row r="81" customFormat="false" ht="15" hidden="false" customHeight="false" outlineLevel="0" collapsed="false">
      <c r="A81" s="4" t="s">
        <v>82</v>
      </c>
    </row>
    <row r="82" customFormat="false" ht="15" hidden="false" customHeight="false" outlineLevel="0" collapsed="false">
      <c r="A82" s="4" t="s">
        <v>83</v>
      </c>
    </row>
    <row r="83" customFormat="false" ht="15" hidden="false" customHeight="false" outlineLevel="0" collapsed="false">
      <c r="A83" s="4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3"/>
  </cols>
  <sheetData>
    <row r="1" customFormat="false" ht="48" hidden="false" customHeight="true" outlineLevel="0" collapsed="false">
      <c r="A1" s="1" t="s">
        <v>18</v>
      </c>
      <c r="B1" s="1" t="s">
        <v>85</v>
      </c>
      <c r="C1" s="1" t="s">
        <v>81</v>
      </c>
      <c r="D1" s="1" t="s">
        <v>86</v>
      </c>
    </row>
    <row r="2" customFormat="false" ht="15" hidden="false" customHeight="false" outlineLevel="0" collapsed="false">
      <c r="A2" s="0" t="s">
        <v>29</v>
      </c>
      <c r="B2" s="10" t="n">
        <f aca="false">SUMIFS(Imputacion_catastro!$J$2:$J$79,Imputacion_catastro!$A$2:$A$79,A2)</f>
        <v>332718</v>
      </c>
      <c r="C2" s="10" t="n">
        <f aca="false">SUMIFS(Imputacion_catastro!$S$2:$S$79,Imputacion_catastro!$A$2:$A$79,A2)</f>
        <v>102117.724357286</v>
      </c>
      <c r="D2" s="7" t="n">
        <f aca="false">C2/B2</f>
        <v>0.306919746924682</v>
      </c>
    </row>
    <row r="3" customFormat="false" ht="15" hidden="false" customHeight="false" outlineLevel="0" collapsed="false">
      <c r="A3" s="0" t="s">
        <v>31</v>
      </c>
      <c r="B3" s="10" t="n">
        <f aca="false">SUMIFS(Imputacion_catastro!$J$2:$J$79,Imputacion_catastro!$A$2:$A$79,A3)</f>
        <v>332718</v>
      </c>
      <c r="C3" s="10" t="n">
        <f aca="false">SUMIFS(Imputacion_catastro!$S$2:$S$79,Imputacion_catastro!$A$2:$A$79,A3)</f>
        <v>105792.937113725</v>
      </c>
      <c r="D3" s="7" t="n">
        <f aca="false">C3/B3</f>
        <v>0.317965776163974</v>
      </c>
    </row>
    <row r="4" customFormat="false" ht="15" hidden="false" customHeight="false" outlineLevel="0" collapsed="false">
      <c r="A4" s="0" t="s">
        <v>32</v>
      </c>
      <c r="B4" s="10" t="n">
        <f aca="false">SUMIFS(Imputacion_catastro!$J$2:$J$79,Imputacion_catastro!$A$2:$A$79,A4)</f>
        <v>332718</v>
      </c>
      <c r="C4" s="10" t="n">
        <f aca="false">SUMIFS(Imputacion_catastro!$S$2:$S$79,Imputacion_catastro!$A$2:$A$79,A4)</f>
        <v>109520.747439106</v>
      </c>
      <c r="D4" s="7" t="n">
        <f aca="false">C4/B4</f>
        <v>0.329169889934137</v>
      </c>
    </row>
    <row r="5" customFormat="false" ht="15" hidden="false" customHeight="false" outlineLevel="0" collapsed="false">
      <c r="A5" s="0" t="s">
        <v>33</v>
      </c>
      <c r="B5" s="10" t="n">
        <f aca="false">SUMIFS(Imputacion_catastro!$J$2:$J$79,Imputacion_catastro!$A$2:$A$79,A5)</f>
        <v>332718</v>
      </c>
      <c r="C5" s="10" t="n">
        <f aca="false">SUMIFS(Imputacion_catastro!$S$2:$S$79,Imputacion_catastro!$A$2:$A$79,A5)</f>
        <v>113305.42726185</v>
      </c>
      <c r="D5" s="7" t="n">
        <f aca="false">C5/B5</f>
        <v>0.340544927722124</v>
      </c>
    </row>
    <row r="6" customFormat="false" ht="15" hidden="false" customHeight="false" outlineLevel="0" collapsed="false">
      <c r="A6" s="0" t="s">
        <v>35</v>
      </c>
      <c r="B6" s="10" t="n">
        <f aca="false">SUMIFS(Imputacion_catastro!$J$2:$J$79,Imputacion_catastro!$A$2:$A$79,A6)</f>
        <v>332718</v>
      </c>
      <c r="C6" s="10" t="n">
        <f aca="false">SUMIFS(Imputacion_catastro!$S$2:$S$79,Imputacion_catastro!$A$2:$A$79,A6)</f>
        <v>117151.443652612</v>
      </c>
      <c r="D6" s="7" t="n">
        <f aca="false">C6/B6</f>
        <v>0.352104315524294</v>
      </c>
    </row>
    <row r="7" customFormat="false" ht="15" hidden="false" customHeight="false" outlineLevel="0" collapsed="false">
      <c r="A7" s="0" t="s">
        <v>36</v>
      </c>
      <c r="B7" s="10" t="n">
        <f aca="false">SUMIFS(Imputacion_catastro!$J$2:$J$79,Imputacion_catastro!$A$2:$A$79,A7)</f>
        <v>332718</v>
      </c>
      <c r="C7" s="10" t="n">
        <f aca="false">SUMIFS(Imputacion_catastro!$S$2:$S$79,Imputacion_catastro!$A$2:$A$79,A7)</f>
        <v>121063.424670078</v>
      </c>
      <c r="D7" s="7" t="n">
        <f aca="false">C7/B7</f>
        <v>0.363861963194289</v>
      </c>
    </row>
    <row r="8" customFormat="false" ht="15" hidden="false" customHeight="false" outlineLevel="0" collapsed="false">
      <c r="A8" s="0" t="s">
        <v>38</v>
      </c>
      <c r="B8" s="10" t="n">
        <f aca="false">SUMIFS(Imputacion_catastro!$J$2:$J$79,Imputacion_catastro!$A$2:$A$79,A8)</f>
        <v>332718</v>
      </c>
      <c r="C8" s="10" t="n">
        <f aca="false">SUMIFS(Imputacion_catastro!$S$2:$S$79,Imputacion_catastro!$A$2:$A$79,A8)</f>
        <v>125046.10984135</v>
      </c>
      <c r="D8" s="7" t="n">
        <f aca="false">C8/B8</f>
        <v>0.375832115609465</v>
      </c>
    </row>
    <row r="9" customFormat="false" ht="15" hidden="false" customHeight="false" outlineLevel="0" collapsed="false">
      <c r="A9" s="0" t="s">
        <v>39</v>
      </c>
      <c r="B9" s="10" t="n">
        <f aca="false">SUMIFS(Imputacion_catastro!$J$2:$J$79,Imputacion_catastro!$A$2:$A$79,A9)</f>
        <v>332718</v>
      </c>
      <c r="C9" s="10" t="n">
        <f aca="false">SUMIFS(Imputacion_catastro!$S$2:$S$79,Imputacion_catastro!$A$2:$A$79,A9)</f>
        <v>129104.277315305</v>
      </c>
      <c r="D9" s="7" t="n">
        <f aca="false">C9/B9</f>
        <v>0.388029133726775</v>
      </c>
    </row>
    <row r="10" customFormat="false" ht="15" hidden="false" customHeight="false" outlineLevel="0" collapsed="false">
      <c r="A10" s="0" t="s">
        <v>40</v>
      </c>
      <c r="B10" s="10" t="n">
        <f aca="false">SUMIFS(Imputacion_catastro!$J$2:$J$79,Imputacion_catastro!$A$2:$A$79,A10)</f>
        <v>332718</v>
      </c>
      <c r="C10" s="10" t="n">
        <f aca="false">SUMIFS(Imputacion_catastro!$S$2:$S$79,Imputacion_catastro!$A$2:$A$79,A10)</f>
        <v>133242.641717704</v>
      </c>
      <c r="D10" s="7" t="n">
        <f aca="false">C10/B10</f>
        <v>0.400467187581387</v>
      </c>
    </row>
    <row r="11" customFormat="false" ht="15" hidden="false" customHeight="false" outlineLevel="0" collapsed="false">
      <c r="A11" s="0" t="s">
        <v>41</v>
      </c>
      <c r="B11" s="10" t="n">
        <f aca="false">SUMIFS(Imputacion_catastro!$J$2:$J$79,Imputacion_catastro!$A$2:$A$79,A11)</f>
        <v>332718</v>
      </c>
      <c r="C11" s="10" t="n">
        <f aca="false">SUMIFS(Imputacion_catastro!$S$2:$S$79,Imputacion_catastro!$A$2:$A$79,A11)</f>
        <v>137465.718742742</v>
      </c>
      <c r="D11" s="7" t="n">
        <f aca="false">C11/B11</f>
        <v>0.413159849310052</v>
      </c>
    </row>
    <row r="12" customFormat="false" ht="15" hidden="false" customHeight="false" outlineLevel="0" collapsed="false">
      <c r="A12" s="0" t="s">
        <v>42</v>
      </c>
      <c r="B12" s="10" t="n">
        <f aca="false">SUMIFS(Imputacion_catastro!$J$2:$J$79,Imputacion_catastro!$A$2:$A$79,A12)</f>
        <v>332718</v>
      </c>
      <c r="C12" s="10" t="n">
        <f aca="false">SUMIFS(Imputacion_catastro!$S$2:$S$79,Imputacion_catastro!$A$2:$A$79,A12)</f>
        <v>141777.654619601</v>
      </c>
      <c r="D12" s="7" t="n">
        <f aca="false">C12/B12</f>
        <v>0.426119580604598</v>
      </c>
    </row>
    <row r="13" customFormat="false" ht="15" hidden="false" customHeight="false" outlineLevel="0" collapsed="false">
      <c r="A13" s="0" t="s">
        <v>43</v>
      </c>
      <c r="B13" s="10" t="n">
        <f aca="false">SUMIFS(Imputacion_catastro!$J$2:$J$79,Imputacion_catastro!$A$2:$A$79,A13)</f>
        <v>332718</v>
      </c>
      <c r="C13" s="10" t="n">
        <f aca="false">SUMIFS(Imputacion_catastro!$S$2:$S$79,Imputacion_catastro!$A$2:$A$79,A13)</f>
        <v>146182.020902086</v>
      </c>
      <c r="D13" s="7" t="n">
        <f aca="false">C13/B13</f>
        <v>0.439357115942288</v>
      </c>
    </row>
    <row r="14" customFormat="false" ht="15" hidden="false" customHeight="false" outlineLevel="0" collapsed="false">
      <c r="A14" s="0" t="s">
        <v>44</v>
      </c>
      <c r="B14" s="10" t="n">
        <f aca="false">SUMIFS(Imputacion_catastro!$J$2:$J$79,Imputacion_catastro!$A$2:$A$79,A14)</f>
        <v>332718</v>
      </c>
      <c r="C14" s="10" t="n">
        <f aca="false">SUMIFS(Imputacion_catastro!$S$2:$S$79,Imputacion_catastro!$A$2:$A$79,A14)</f>
        <v>150681.577639336</v>
      </c>
      <c r="D14" s="7" t="n">
        <f aca="false">C14/B14</f>
        <v>0.452880750783955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3"/>
  </cols>
  <sheetData>
    <row r="1" customFormat="false" ht="48" hidden="false" customHeight="true" outlineLevel="0" collapsed="false">
      <c r="A1" s="1" t="s">
        <v>87</v>
      </c>
      <c r="B1" s="1" t="s">
        <v>88</v>
      </c>
      <c r="C1" s="1" t="s">
        <v>89</v>
      </c>
    </row>
    <row r="2" customFormat="false" ht="15" hidden="false" customHeight="false" outlineLevel="0" collapsed="false">
      <c r="A2" s="0" t="s">
        <v>90</v>
      </c>
      <c r="B2" s="5" t="n">
        <v>0.226434644747878</v>
      </c>
      <c r="C2" s="5" t="n">
        <v>0.2778886077611</v>
      </c>
    </row>
    <row r="3" customFormat="false" ht="15" hidden="false" customHeight="false" outlineLevel="0" collapsed="false">
      <c r="A3" s="0" t="s">
        <v>91</v>
      </c>
      <c r="B3" s="5" t="n">
        <v>0.572835130322165</v>
      </c>
      <c r="C3" s="5" t="n">
        <v>0.64729908123362</v>
      </c>
    </row>
    <row r="4" customFormat="false" ht="15" hidden="false" customHeight="false" outlineLevel="0" collapsed="false">
      <c r="A4" s="0" t="s">
        <v>92</v>
      </c>
      <c r="B4" s="5" t="n">
        <v>0.352875392511024</v>
      </c>
      <c r="C4" s="5" t="n">
        <v>0.421144054904501</v>
      </c>
    </row>
    <row r="5" customFormat="false" ht="15" hidden="false" customHeight="false" outlineLevel="0" collapsed="false">
      <c r="A5" s="0" t="s">
        <v>93</v>
      </c>
      <c r="B5" s="5" t="n">
        <v>0.648510929762372</v>
      </c>
      <c r="C5" s="5" t="n">
        <v>0.730186005336377</v>
      </c>
    </row>
    <row r="6" customFormat="false" ht="15" hidden="false" customHeight="false" outlineLevel="0" collapsed="false">
      <c r="A6" s="0" t="s">
        <v>94</v>
      </c>
      <c r="B6" s="5" t="n">
        <v>0.438092571231011</v>
      </c>
      <c r="C6" s="5" t="n">
        <v>0.509066872894827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2026-10-14T20:36:13Z</dcterms:created>
  <dc:creator>openpyxl</dc:creator>
  <dc:description/>
  <dc:language>en-US</dc:language>
  <cp:lastModifiedBy/>
  <dcterms:modified xsi:type="dcterms:W3CDTF">2026-10-14T20:36:14Z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