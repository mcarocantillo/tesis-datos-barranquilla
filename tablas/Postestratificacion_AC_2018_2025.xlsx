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_anual" sheetId="1" state="visible" r:id="rId3"/>
    <sheet name="Detalle_estra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<sst xmlns="http://schemas.openxmlformats.org/spreadsheetml/2006/main" count="143" uniqueCount="52">
  <si>
    <t xml:space="preserve">Año</t>
  </si>
  <si>
    <t xml:space="preserve">n hogares E1–6</t>
  </si>
  <si>
    <t xml:space="preserve">Suscriptores dic</t>
  </si>
  <si>
    <t xml:space="preserve">% AC postestratificado</t>
  </si>
  <si>
    <t xml:space="preserve">EE (pp)</t>
  </si>
  <si>
    <t xml:space="preserve">IC95 ± (pp)</t>
  </si>
  <si>
    <t xml:space="preserve">IC95 inf</t>
  </si>
  <si>
    <t xml:space="preserve">IC95 sup</t>
  </si>
  <si>
    <t xml:space="preserve">% AC pesos ECV (crudo)</t>
  </si>
  <si>
    <t xml:space="preserve">Diferencia vs 2019 (pp)</t>
  </si>
  <si>
    <t xml:space="preserve">z vs 2019</t>
  </si>
  <si>
    <t xml:space="preserve">Efecto tasas vs 2019 (pp)</t>
  </si>
  <si>
    <t xml:space="preserve">Efecto composición vs 2019 (pp)</t>
  </si>
  <si>
    <t xml:space="preserve">IC95 ± Agresti–Coull (pp)</t>
  </si>
  <si>
    <t xml:space="preserve">% ventilador postestr.</t>
  </si>
  <si>
    <t xml:space="preserve">% nevera postestr.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</si>
  <si>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</si>
  <si>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</si>
  <si>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</si>
  <si>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</si>
  <si>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</si>
  <si>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</si>
  <si>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</si>
  <si>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</si>
  <si>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Lectura: % AC postestratificado = Σ W_e·p_e, con W_e = suscriptores SUI del estrato e en diciembre / total E1–E6 y p_e = tasa ECV dentro del estrato.</t>
  </si>
  <si>
    <t xml:space="preserve">EE = √Σ W_e²·p_e(1−p_e)/n_e (muestreo simple; el efecto de diseño de la ECV lo ampliaría). z vs 2019 trata ambos años como independientes.</t>
  </si>
  <si>
    <t xml:space="preserve">Efecto tasas = Σ W_2019·(p_año − p_2019); efecto composición = Σ (W_año − W_2019)·p_año. Suman la diferencia. Columnas I, L, M, N calculadas en Python (postestrat_anual.py).</t>
  </si>
  <si>
    <t xml:space="preserve">2019 con P1077S11 da 33,3 %; con P5523 (base ECV 2019 del informe) daba 33,5 %. 2020 fue en parte telefónica (pandemia). E5–E6 con n pequeños.</t>
  </si>
  <si>
    <t xml:space="preserve">Tendencia lineal ponderada (1/EE²) 2018–2025: +1,2 pp/año (EE 0,24); sin 2020–2021: +1,4 pp/año (EE 0,25).</t>
  </si>
  <si>
    <t xml:space="preserve">Estrato</t>
  </si>
  <si>
    <t xml:space="preserve">n hogares ECV</t>
  </si>
  <si>
    <t xml:space="preserve">% AC ECV (pond. FEX_C)</t>
  </si>
  <si>
    <t xml:space="preserve">% ventilador ECV</t>
  </si>
  <si>
    <t xml:space="preserve">% nevera ECV</t>
  </si>
  <si>
    <t xml:space="preserve">Suscriptores SUI dic</t>
  </si>
  <si>
    <t xml:space="preserve">Peso W</t>
  </si>
  <si>
    <t xml:space="preserve">W·p AC</t>
  </si>
  <si>
    <t xml:space="preserve">Var AC (W²·p(1−p)/n)</t>
  </si>
  <si>
    <t xml:space="preserve">W·p ventilador</t>
  </si>
  <si>
    <t xml:space="preserve">Var ventilador</t>
  </si>
  <si>
    <t xml:space="preserve">W·p nevera</t>
  </si>
  <si>
    <t xml:space="preserve">Var nevera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</si>
  <si>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</si>
  <si>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</si>
  <si>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</si>
  <si>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</si>
  <si>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</si>
  <si>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</si>
  <si>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Fuentes: % por estrato = ECV DANE (P1077S11 AC, S12 ventilador, S2 nevera), Barranquilla, ponderado con FEX_C (ECV_2018_2025_Barranquilla_tenencia_por_estrato.csv).</t>
  </si>
  <si>
    <t xml:space="preserve">Suscriptores = SUI ele_com_096, Barranquilla urbano residencial, diciembre de cada año, suma de comercializadoras (SUI_Barranquilla_urbano_residencial_2015_2026.csv).</t>
  </si>
  <si>
    <t xml:space="preserve">Varianza: muestreo aleatorio simple por estrato, sin efecto de diseño. Cuando p = 0 o 1 (E6) el estrato aporta varianza 0; ver columna Agresti–Coull en Resumen.</t>
  </si>
  <si>
    <t xml:space="preserve">Se excluyen hogares sin estrato (grupo 0: rurales y sin dato), porque el SUI solo reparte suscriptores en E1–E6.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</si>
</sst>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n">
        <f aca="false">SUMIFS(Detalle_estrato!$C:$C,Detalle_estrato!$A:$A,$A2)</f>
        <v>954</v>
      </c>
      <c r="C2" s="3" t="n">
        <f aca="false">SUMIFS(Detalle_estrato!$G:$G,Detalle_estrato!$A:$A,$A2)</f>
        <v>300745</v>
      </c>
      <c r="D2" s="4" t="n">
        <f aca="false">SUMIFS(Detalle_estrato!$I:$I,Detalle_estrato!$A:$A,$A2)</f>
        <v>0.348125892968183</v>
      </c>
      <c r="E2" s="4" t="n">
        <f aca="false">SQRT(SUMIFS(Detalle_estrato!$J:$J,Detalle_estrato!$A:$A,$A2))</f>
        <v>0.0137655646610436</v>
      </c>
      <c r="F2" s="4" t="n">
        <f aca="false">1.96*E2</f>
        <v>0.0269805067356455</v>
      </c>
      <c r="G2" s="4" t="n">
        <f aca="false">D2-F2</f>
        <v>0.321145386232537</v>
      </c>
      <c r="H2" s="4" t="n">
        <f aca="false">D2+F2</f>
        <v>0.375106399703828</v>
      </c>
      <c r="I2" s="5" t="n">
        <v>0.339533820705294</v>
      </c>
      <c r="J2" s="4" t="n">
        <f aca="false">D2-$D$3</f>
        <v>0.0155226108764442</v>
      </c>
      <c r="K2" s="6" t="n">
        <f aca="false">J2/SQRT(E2^2+$E$3^2)</f>
        <v>0.782990272332105</v>
      </c>
      <c r="L2" s="5" t="n">
        <v>0.020638291084211</v>
      </c>
      <c r="M2" s="5" t="n">
        <v>-0.00511568020776665</v>
      </c>
      <c r="N2" s="5" t="n">
        <v>0.0268314394809416</v>
      </c>
      <c r="O2" s="4" t="n">
        <f aca="false">SUMIFS(Detalle_estrato!$K:$K,Detalle_estrato!$A:$A,$A2)</f>
        <v>0.991221952482002</v>
      </c>
      <c r="P2" s="4" t="n">
        <f aca="false">SUMIFS(Detalle_estrato!$M:$M,Detalle_estrato!$A:$A,$A2)</f>
        <v>0.937629700965041</v>
      </c>
    </row>
    <row r="3" customFormat="false" ht="15" hidden="false" customHeight="false" outlineLevel="0" collapsed="false">
      <c r="A3" s="2" t="s">
        <v>17</v>
      </c>
      <c r="B3" s="3" t="n">
        <f aca="false">SUMIFS(Detalle_estrato!$C:$C,Detalle_estrato!$A:$A,$A3)</f>
        <v>957</v>
      </c>
      <c r="C3" s="3" t="n">
        <f aca="false">SUMIFS(Detalle_estrato!$G:$G,Detalle_estrato!$A:$A,$A3)</f>
        <v>319399</v>
      </c>
      <c r="D3" s="4" t="n">
        <f aca="false">SUMIFS(Detalle_estrato!$I:$I,Detalle_estrato!$A:$A,$A3)</f>
        <v>0.332603282091738</v>
      </c>
      <c r="E3" s="4" t="n">
        <f aca="false">SQRT(SUMIFS(Detalle_estrato!$J:$J,Detalle_estrato!$A:$A,$A3))</f>
        <v>0.0142664354870549</v>
      </c>
      <c r="F3" s="4" t="n">
        <f aca="false">1.96*E3</f>
        <v>0.0279622135546277</v>
      </c>
      <c r="G3" s="4" t="n">
        <f aca="false">D3-F3</f>
        <v>0.304641068537111</v>
      </c>
      <c r="H3" s="4" t="n">
        <f aca="false">D3+F3</f>
        <v>0.360565495646366</v>
      </c>
      <c r="I3" s="5" t="n">
        <v>0.309230882343931</v>
      </c>
      <c r="J3" s="4" t="n">
        <f aca="false">D3-$D$3</f>
        <v>0</v>
      </c>
      <c r="K3" s="6"/>
      <c r="L3" s="5" t="n">
        <v>0</v>
      </c>
      <c r="M3" s="5" t="n">
        <v>0</v>
      </c>
      <c r="N3" s="5" t="n">
        <v>0.0278190078341442</v>
      </c>
      <c r="O3" s="4" t="n">
        <f aca="false">SUMIFS(Detalle_estrato!$K:$K,Detalle_estrato!$A:$A,$A3)</f>
        <v>0.970495912000674</v>
      </c>
      <c r="P3" s="4" t="n">
        <f aca="false">SUMIFS(Detalle_estrato!$M:$M,Detalle_estrato!$A:$A,$A3)</f>
        <v>0.910025060131197</v>
      </c>
    </row>
    <row r="4" customFormat="false" ht="15" hidden="false" customHeight="false" outlineLevel="0" collapsed="false">
      <c r="A4" s="2" t="s">
        <v>18</v>
      </c>
      <c r="B4" s="3" t="n">
        <f aca="false">SUMIFS(Detalle_estrato!$C:$C,Detalle_estrato!$A:$A,$A4)</f>
        <v>716</v>
      </c>
      <c r="C4" s="3" t="n">
        <f aca="false">SUMIFS(Detalle_estrato!$G:$G,Detalle_estrato!$A:$A,$A4)</f>
        <v>323568</v>
      </c>
      <c r="D4" s="4" t="n">
        <f aca="false">SUMIFS(Detalle_estrato!$I:$I,Detalle_estrato!$A:$A,$A4)</f>
        <v>0.41309631974627</v>
      </c>
      <c r="E4" s="4" t="n">
        <f aca="false">SQRT(SUMIFS(Detalle_estrato!$J:$J,Detalle_estrato!$A:$A,$A4))</f>
        <v>0.0139102683461469</v>
      </c>
      <c r="F4" s="4" t="n">
        <f aca="false">1.96*E4</f>
        <v>0.0272641259584479</v>
      </c>
      <c r="G4" s="4" t="n">
        <f aca="false">D4-F4</f>
        <v>0.385832193787822</v>
      </c>
      <c r="H4" s="4" t="n">
        <f aca="false">D4+F4</f>
        <v>0.440360445704718</v>
      </c>
      <c r="I4" s="5" t="n">
        <v>0.362642551885345</v>
      </c>
      <c r="J4" s="4" t="n">
        <f aca="false">D4-$D$3</f>
        <v>0.0804930376545315</v>
      </c>
      <c r="K4" s="6" t="n">
        <f aca="false">J4/SQRT(E4^2+$E$3^2)</f>
        <v>4.03969367611219</v>
      </c>
      <c r="L4" s="5" t="n">
        <v>0.0769581065113788</v>
      </c>
      <c r="M4" s="5" t="n">
        <v>0.00353493114315271</v>
      </c>
      <c r="N4" s="5" t="n">
        <v>0.0290539539537238</v>
      </c>
      <c r="O4" s="4" t="n">
        <f aca="false">SUMIFS(Detalle_estrato!$K:$K,Detalle_estrato!$A:$A,$A4)</f>
        <v>0.985413349490357</v>
      </c>
      <c r="P4" s="4" t="n">
        <f aca="false">SUMIFS(Detalle_estrato!$M:$M,Detalle_estrato!$A:$A,$A4)</f>
        <v>0.921938167575535</v>
      </c>
    </row>
    <row r="5" customFormat="false" ht="15" hidden="false" customHeight="false" outlineLevel="0" collapsed="false">
      <c r="A5" s="2" t="s">
        <v>19</v>
      </c>
      <c r="B5" s="3" t="n">
        <f aca="false">SUMIFS(Detalle_estrato!$C:$C,Detalle_estrato!$A:$A,$A5)</f>
        <v>765</v>
      </c>
      <c r="C5" s="3" t="n">
        <f aca="false">SUMIFS(Detalle_estrato!$G:$G,Detalle_estrato!$A:$A,$A5)</f>
        <v>356575</v>
      </c>
      <c r="D5" s="4" t="n">
        <f aca="false">SUMIFS(Detalle_estrato!$I:$I,Detalle_estrato!$A:$A,$A5)</f>
        <v>0.39587563368048</v>
      </c>
      <c r="E5" s="4" t="n">
        <f aca="false">SQRT(SUMIFS(Detalle_estrato!$J:$J,Detalle_estrato!$A:$A,$A5))</f>
        <v>0.0129905994913304</v>
      </c>
      <c r="F5" s="4" t="n">
        <f aca="false">1.96*E5</f>
        <v>0.0254615750030077</v>
      </c>
      <c r="G5" s="4" t="n">
        <f aca="false">D5-F5</f>
        <v>0.370414058677472</v>
      </c>
      <c r="H5" s="4" t="n">
        <f aca="false">D5+F5</f>
        <v>0.421337208683487</v>
      </c>
      <c r="I5" s="5" t="n">
        <v>0.362801684817497</v>
      </c>
      <c r="J5" s="4" t="n">
        <f aca="false">D5-$D$3</f>
        <v>0.0632723515887412</v>
      </c>
      <c r="K5" s="6" t="n">
        <f aca="false">J5/SQRT(E5^2+$E$3^2)</f>
        <v>3.27925450471067</v>
      </c>
      <c r="L5" s="5" t="n">
        <v>0.0617431169075115</v>
      </c>
      <c r="M5" s="5" t="n">
        <v>0.00152923468122973</v>
      </c>
      <c r="N5" s="5" t="n">
        <v>0.0263349436871959</v>
      </c>
      <c r="O5" s="4" t="n">
        <f aca="false">SUMIFS(Detalle_estrato!$K:$K,Detalle_estrato!$A:$A,$A5)</f>
        <v>0.991527795441612</v>
      </c>
      <c r="P5" s="4" t="n">
        <f aca="false">SUMIFS(Detalle_estrato!$M:$M,Detalle_estrato!$A:$A,$A5)</f>
        <v>0.926279797135067</v>
      </c>
    </row>
    <row r="6" customFormat="false" ht="15" hidden="false" customHeight="false" outlineLevel="0" collapsed="false">
      <c r="A6" s="2" t="s">
        <v>20</v>
      </c>
      <c r="B6" s="3" t="n">
        <f aca="false">SUMIFS(Detalle_estrato!$C:$C,Detalle_estrato!$A:$A,$A6)</f>
        <v>715</v>
      </c>
      <c r="C6" s="3" t="n">
        <f aca="false">SUMIFS(Detalle_estrato!$G:$G,Detalle_estrato!$A:$A,$A6)</f>
        <v>317080</v>
      </c>
      <c r="D6" s="4" t="n">
        <f aca="false">SUMIFS(Detalle_estrato!$I:$I,Detalle_estrato!$A:$A,$A6)</f>
        <v>0.366460706777229</v>
      </c>
      <c r="E6" s="4" t="n">
        <f aca="false">SQRT(SUMIFS(Detalle_estrato!$J:$J,Detalle_estrato!$A:$A,$A6))</f>
        <v>0.0156303174323323</v>
      </c>
      <c r="F6" s="4" t="n">
        <f aca="false">1.96*E6</f>
        <v>0.0306354221673713</v>
      </c>
      <c r="G6" s="4" t="n">
        <f aca="false">D6-F6</f>
        <v>0.335825284609858</v>
      </c>
      <c r="H6" s="4" t="n">
        <f aca="false">D6+F6</f>
        <v>0.3970961289446</v>
      </c>
      <c r="I6" s="5" t="n">
        <v>0.323453494771602</v>
      </c>
      <c r="J6" s="4" t="n">
        <f aca="false">D6-$D$3</f>
        <v>0.0338574246854906</v>
      </c>
      <c r="K6" s="6" t="n">
        <f aca="false">J6/SQRT(E6^2+$E$3^2)</f>
        <v>1.59990224592143</v>
      </c>
      <c r="L6" s="5" t="n">
        <v>0.0270700921989815</v>
      </c>
      <c r="M6" s="5" t="n">
        <v>0.0067873324865092</v>
      </c>
      <c r="N6" s="5" t="n">
        <v>0.0306910067019721</v>
      </c>
      <c r="O6" s="4" t="n">
        <f aca="false">SUMIFS(Detalle_estrato!$K:$K,Detalle_estrato!$A:$A,$A6)</f>
        <v>0.975322727964567</v>
      </c>
      <c r="P6" s="4" t="n">
        <f aca="false">SUMIFS(Detalle_estrato!$M:$M,Detalle_estrato!$A:$A,$A6)</f>
        <v>0.947553518078884</v>
      </c>
    </row>
    <row r="7" customFormat="false" ht="15" hidden="false" customHeight="false" outlineLevel="0" collapsed="false">
      <c r="A7" s="2" t="s">
        <v>21</v>
      </c>
      <c r="B7" s="3" t="n">
        <f aca="false">SUMIFS(Detalle_estrato!$C:$C,Detalle_estrato!$A:$A,$A7)</f>
        <v>687</v>
      </c>
      <c r="C7" s="3" t="n">
        <f aca="false">SUMIFS(Detalle_estrato!$G:$G,Detalle_estrato!$A:$A,$A7)</f>
        <v>327032</v>
      </c>
      <c r="D7" s="4" t="n">
        <f aca="false">SUMIFS(Detalle_estrato!$I:$I,Detalle_estrato!$A:$A,$A7)</f>
        <v>0.400798609388746</v>
      </c>
      <c r="E7" s="4" t="n">
        <f aca="false">SQRT(SUMIFS(Detalle_estrato!$J:$J,Detalle_estrato!$A:$A,$A7))</f>
        <v>0.0159654591729699</v>
      </c>
      <c r="F7" s="4" t="n">
        <f aca="false">1.96*E7</f>
        <v>0.031292299979021</v>
      </c>
      <c r="G7" s="4" t="n">
        <f aca="false">D7-F7</f>
        <v>0.369506309409725</v>
      </c>
      <c r="H7" s="4" t="n">
        <f aca="false">D7+F7</f>
        <v>0.432090909367767</v>
      </c>
      <c r="I7" s="5" t="n">
        <v>0.355960015537182</v>
      </c>
      <c r="J7" s="4" t="n">
        <f aca="false">D7-$D$3</f>
        <v>0.0681953272970079</v>
      </c>
      <c r="K7" s="6" t="n">
        <f aca="false">J7/SQRT(E7^2+$E$3^2)</f>
        <v>3.18507374121564</v>
      </c>
      <c r="L7" s="5" t="n">
        <v>0.0631388476635833</v>
      </c>
      <c r="M7" s="5" t="n">
        <v>0.00505647963342464</v>
      </c>
      <c r="N7" s="5" t="n">
        <v>0.0320284792607195</v>
      </c>
      <c r="O7" s="4" t="n">
        <f aca="false">SUMIFS(Detalle_estrato!$K:$K,Detalle_estrato!$A:$A,$A7)</f>
        <v>0.98601375609044</v>
      </c>
      <c r="P7" s="4" t="n">
        <f aca="false">SUMIFS(Detalle_estrato!$M:$M,Detalle_estrato!$A:$A,$A7)</f>
        <v>0.921682770739563</v>
      </c>
    </row>
    <row r="8" customFormat="false" ht="15" hidden="false" customHeight="false" outlineLevel="0" collapsed="false">
      <c r="A8" s="2" t="s">
        <v>22</v>
      </c>
      <c r="B8" s="3" t="n">
        <f aca="false">SUMIFS(Detalle_estrato!$C:$C,Detalle_estrato!$A:$A,$A8)</f>
        <v>646</v>
      </c>
      <c r="C8" s="3" t="n">
        <f aca="false">SUMIFS(Detalle_estrato!$G:$G,Detalle_estrato!$A:$A,$A8)</f>
        <v>330101</v>
      </c>
      <c r="D8" s="4" t="n">
        <f aca="false">SUMIFS(Detalle_estrato!$I:$I,Detalle_estrato!$A:$A,$A8)</f>
        <v>0.414083483737669</v>
      </c>
      <c r="E8" s="4" t="n">
        <f aca="false">SQRT(SUMIFS(Detalle_estrato!$J:$J,Detalle_estrato!$A:$A,$A8))</f>
        <v>0.017036984963958</v>
      </c>
      <c r="F8" s="4" t="n">
        <f aca="false">1.96*E8</f>
        <v>0.0333924905293576</v>
      </c>
      <c r="G8" s="4" t="n">
        <f aca="false">D8-F8</f>
        <v>0.380690993208311</v>
      </c>
      <c r="H8" s="4" t="n">
        <f aca="false">D8+F8</f>
        <v>0.447475974267026</v>
      </c>
      <c r="I8" s="5" t="n">
        <v>0.371478645020455</v>
      </c>
      <c r="J8" s="4" t="n">
        <f aca="false">D8-$D$3</f>
        <v>0.0814802016459304</v>
      </c>
      <c r="K8" s="6" t="n">
        <f aca="false">J8/SQRT(E8^2+$E$3^2)</f>
        <v>3.66674689630561</v>
      </c>
      <c r="L8" s="5" t="n">
        <v>0.0757493882155914</v>
      </c>
      <c r="M8" s="5" t="n">
        <v>0.00573081343033902</v>
      </c>
      <c r="N8" s="5" t="n">
        <v>0.0334785350254328</v>
      </c>
      <c r="O8" s="4" t="n">
        <f aca="false">SUMIFS(Detalle_estrato!$K:$K,Detalle_estrato!$A:$A,$A8)</f>
        <v>0.985602613467156</v>
      </c>
      <c r="P8" s="4" t="n">
        <f aca="false">SUMIFS(Detalle_estrato!$M:$M,Detalle_estrato!$A:$A,$A8)</f>
        <v>0.930165981931427</v>
      </c>
    </row>
    <row r="9" customFormat="false" ht="15" hidden="false" customHeight="false" outlineLevel="0" collapsed="false">
      <c r="A9" s="2" t="s">
        <v>23</v>
      </c>
      <c r="B9" s="3" t="n">
        <f aca="false">SUMIFS(Detalle_estrato!$C:$C,Detalle_estrato!$A:$A,$A9)</f>
        <v>679</v>
      </c>
      <c r="C9" s="3" t="n">
        <f aca="false">SUMIFS(Detalle_estrato!$G:$G,Detalle_estrato!$A:$A,$A9)</f>
        <v>329892</v>
      </c>
      <c r="D9" s="4" t="n">
        <f aca="false">SUMIFS(Detalle_estrato!$I:$I,Detalle_estrato!$A:$A,$A9)</f>
        <v>0.44873335707738</v>
      </c>
      <c r="E9" s="4" t="n">
        <f aca="false">SQRT(SUMIFS(Detalle_estrato!$J:$J,Detalle_estrato!$A:$A,$A9))</f>
        <v>0.0177062918331634</v>
      </c>
      <c r="F9" s="4" t="n">
        <f aca="false">1.96*E9</f>
        <v>0.0347043319930003</v>
      </c>
      <c r="G9" s="4" t="n">
        <f aca="false">D9-F9</f>
        <v>0.41402902508438</v>
      </c>
      <c r="H9" s="4" t="n">
        <f aca="false">D9+F9</f>
        <v>0.48343768907038</v>
      </c>
      <c r="I9" s="5" t="n">
        <v>0.391850615691927</v>
      </c>
      <c r="J9" s="4" t="n">
        <f aca="false">D9-$D$3</f>
        <v>0.116130074985642</v>
      </c>
      <c r="K9" s="6" t="n">
        <f aca="false">J9/SQRT(E9^2+$E$3^2)</f>
        <v>5.10717777312219</v>
      </c>
      <c r="L9" s="5" t="n">
        <v>0.103940910574029</v>
      </c>
      <c r="M9" s="5" t="n">
        <v>0.0121891644116126</v>
      </c>
      <c r="N9" s="5" t="n">
        <v>0.0349970195453474</v>
      </c>
      <c r="O9" s="4" t="n">
        <f aca="false">SUMIFS(Detalle_estrato!$K:$K,Detalle_estrato!$A:$A,$A9)</f>
        <v>0.985609548101289</v>
      </c>
      <c r="P9" s="4" t="n">
        <f aca="false">SUMIFS(Detalle_estrato!$M:$M,Detalle_estrato!$A:$A,$A9)</f>
        <v>0.95236916474269</v>
      </c>
    </row>
    <row r="11" customFormat="false" ht="15" hidden="false" customHeight="false" outlineLevel="0" collapsed="false">
      <c r="A11" s="7" t="s">
        <v>24</v>
      </c>
    </row>
    <row r="12" customFormat="false" ht="15" hidden="false" customHeight="false" outlineLevel="0" collapsed="false">
      <c r="A12" s="7" t="s">
        <v>25</v>
      </c>
    </row>
    <row r="13" customFormat="false" ht="15" hidden="false" customHeight="false" outlineLevel="0" collapsed="false">
      <c r="A13" s="7" t="s">
        <v>26</v>
      </c>
    </row>
    <row r="14" customFormat="false" ht="15" hidden="false" customHeight="false" outlineLevel="0" collapsed="false">
      <c r="A14" s="7" t="s">
        <v>27</v>
      </c>
    </row>
    <row r="15" customFormat="false" ht="15" hidden="false" customHeight="false" outlineLevel="0" collapsed="false">
      <c r="A15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45" hidden="false" customHeight="true" outlineLevel="0" collapsed="false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customFormat="false" ht="15" hidden="false" customHeight="false" outlineLevel="0" collapsed="false">
      <c r="A2" s="2" t="s">
        <v>16</v>
      </c>
      <c r="B2" s="8" t="s">
        <v>42</v>
      </c>
      <c r="C2" s="9" t="n">
        <v>385</v>
      </c>
      <c r="D2" s="5" t="n">
        <v>0.0992976142976519</v>
      </c>
      <c r="E2" s="5" t="n">
        <v>0.987954800388458</v>
      </c>
      <c r="F2" s="5" t="n">
        <v>0.886692312904173</v>
      </c>
      <c r="G2" s="10" t="n">
        <v>103037</v>
      </c>
      <c r="H2" s="4" t="n">
        <f aca="false">G2/SUMIFS($G:$G,$A:$A,A2)</f>
        <v>0.342605862109096</v>
      </c>
      <c r="I2" s="4" t="n">
        <f aca="false">H2*D2</f>
        <v>0.0340199447518235</v>
      </c>
      <c r="J2" s="11" t="n">
        <f aca="false">H2^2*D2*(1-D2)/C2</f>
        <v>2.72677295056758E-005</v>
      </c>
      <c r="K2" s="4" t="n">
        <f aca="false">H2*E2</f>
        <v>0.338479106111907</v>
      </c>
      <c r="L2" s="11" t="n">
        <f aca="false">H2^2*E2*(1-E2)/C2</f>
        <v>3.62810566511778E-006</v>
      </c>
      <c r="M2" s="4" t="n">
        <f aca="false">H2*F2</f>
        <v>0.303785984288042</v>
      </c>
      <c r="N2" s="11" t="n">
        <f aca="false">H2^2*F2*(1-F2)/C2</f>
        <v>3.06309994644423E-005</v>
      </c>
    </row>
    <row r="3" customFormat="false" ht="15" hidden="false" customHeight="false" outlineLevel="0" collapsed="false">
      <c r="A3" s="2" t="s">
        <v>16</v>
      </c>
      <c r="B3" s="8" t="s">
        <v>43</v>
      </c>
      <c r="C3" s="9" t="n">
        <v>198</v>
      </c>
      <c r="D3" s="5" t="n">
        <v>0.30001284301554</v>
      </c>
      <c r="E3" s="5" t="n">
        <v>0.993935242661644</v>
      </c>
      <c r="F3" s="5" t="n">
        <v>0.941307418981977</v>
      </c>
      <c r="G3" s="10" t="n">
        <v>61304</v>
      </c>
      <c r="H3" s="4" t="n">
        <f aca="false">G3/SUMIFS($G:$G,$A:$A,A3)</f>
        <v>0.203840462850588</v>
      </c>
      <c r="I3" s="4" t="n">
        <f aca="false">H3*D3</f>
        <v>0.0611547567814084</v>
      </c>
      <c r="J3" s="11" t="n">
        <f aca="false">H3^2*D3*(1-D3)/C3</f>
        <v>4.40702507618393E-005</v>
      </c>
      <c r="K3" s="4" t="n">
        <f aca="false">H3*E3</f>
        <v>0.202604219907661</v>
      </c>
      <c r="L3" s="11" t="n">
        <f aca="false">H3^2*E3*(1-E3)/C3</f>
        <v>1.26499008620248E-006</v>
      </c>
      <c r="M3" s="4" t="n">
        <f aca="false">H3*F3</f>
        <v>0.191876539969978</v>
      </c>
      <c r="N3" s="11" t="n">
        <f aca="false">H3^2*F3*(1-F3)/C3</f>
        <v>1.15939198323181E-005</v>
      </c>
    </row>
    <row r="4" customFormat="false" ht="15" hidden="false" customHeight="false" outlineLevel="0" collapsed="false">
      <c r="A4" s="2" t="s">
        <v>16</v>
      </c>
      <c r="B4" s="8" t="s">
        <v>44</v>
      </c>
      <c r="C4" s="9" t="n">
        <v>166</v>
      </c>
      <c r="D4" s="5" t="n">
        <v>0.34040965254167</v>
      </c>
      <c r="E4" s="5" t="n">
        <v>1</v>
      </c>
      <c r="F4" s="5" t="n">
        <v>0.949465129778589</v>
      </c>
      <c r="G4" s="10" t="n">
        <v>68954</v>
      </c>
      <c r="H4" s="4" t="n">
        <f aca="false">G4/SUMIFS($G:$G,$A:$A,A4)</f>
        <v>0.229277294718117</v>
      </c>
      <c r="I4" s="4" t="n">
        <f aca="false">H4*D4</f>
        <v>0.0780482042306882</v>
      </c>
      <c r="J4" s="11" t="n">
        <f aca="false">H4^2*D4*(1-D4)/C4</f>
        <v>7.11033671083376E-005</v>
      </c>
      <c r="K4" s="4" t="n">
        <f aca="false">H4*E4</f>
        <v>0.229277294718117</v>
      </c>
      <c r="L4" s="11" t="n">
        <f aca="false">H4^2*E4*(1-E4)/C4</f>
        <v>0</v>
      </c>
      <c r="M4" s="4" t="n">
        <f aca="false">H4*F4</f>
        <v>0.21769079638482</v>
      </c>
      <c r="N4" s="11" t="n">
        <f aca="false">H4^2*F4*(1-F4)/C4</f>
        <v>1.51944219848594E-005</v>
      </c>
    </row>
    <row r="5" customFormat="false" ht="15" hidden="false" customHeight="false" outlineLevel="0" collapsed="false">
      <c r="A5" s="2" t="s">
        <v>16</v>
      </c>
      <c r="B5" s="8" t="s">
        <v>45</v>
      </c>
      <c r="C5" s="9" t="n">
        <v>110</v>
      </c>
      <c r="D5" s="5" t="n">
        <v>0.752358370302381</v>
      </c>
      <c r="E5" s="5" t="n">
        <v>0.978940390597114</v>
      </c>
      <c r="F5" s="5" t="n">
        <v>1</v>
      </c>
      <c r="G5" s="10" t="n">
        <v>40501</v>
      </c>
      <c r="H5" s="4" t="n">
        <f aca="false">G5/SUMIFS($G:$G,$A:$A,A5)</f>
        <v>0.134668905551215</v>
      </c>
      <c r="I5" s="4" t="n">
        <f aca="false">H5*D5</f>
        <v>0.101319278310917</v>
      </c>
      <c r="J5" s="11" t="n">
        <f aca="false">H5^2*D5*(1-D5)/C5</f>
        <v>3.07178196720458E-005</v>
      </c>
      <c r="K5" s="4" t="n">
        <f aca="false">H5*E5</f>
        <v>0.131832831001592</v>
      </c>
      <c r="L5" s="11" t="n">
        <f aca="false">H5^2*E5*(1-E5)/C5</f>
        <v>3.39897942553027E-006</v>
      </c>
      <c r="M5" s="4" t="n">
        <f aca="false">H5*F5</f>
        <v>0.134668905551215</v>
      </c>
      <c r="N5" s="11" t="n">
        <f aca="false">H5^2*F5*(1-F5)/C5</f>
        <v>0</v>
      </c>
    </row>
    <row r="6" customFormat="false" ht="15" hidden="false" customHeight="false" outlineLevel="0" collapsed="false">
      <c r="A6" s="2" t="s">
        <v>16</v>
      </c>
      <c r="B6" s="8" t="s">
        <v>46</v>
      </c>
      <c r="C6" s="9" t="n">
        <v>32</v>
      </c>
      <c r="D6" s="5" t="n">
        <v>0.706725663716814</v>
      </c>
      <c r="E6" s="5" t="n">
        <v>1</v>
      </c>
      <c r="F6" s="5" t="n">
        <v>1</v>
      </c>
      <c r="G6" s="10" t="n">
        <v>14567</v>
      </c>
      <c r="H6" s="4" t="n">
        <f aca="false">G6/SUMIFS($G:$G,$A:$A,A6)</f>
        <v>0.0484363829822607</v>
      </c>
      <c r="I6" s="4" t="n">
        <f aca="false">H6*D6</f>
        <v>0.03423123491118</v>
      </c>
      <c r="J6" s="11" t="n">
        <f aca="false">H6^2*D6*(1-D6)/C6</f>
        <v>1.51956175177894E-005</v>
      </c>
      <c r="K6" s="4" t="n">
        <f aca="false">H6*E6</f>
        <v>0.0484363829822607</v>
      </c>
      <c r="L6" s="11" t="n">
        <f aca="false">H6^2*E6*(1-E6)/C6</f>
        <v>0</v>
      </c>
      <c r="M6" s="4" t="n">
        <f aca="false">H6*F6</f>
        <v>0.0484363829822607</v>
      </c>
      <c r="N6" s="11" t="n">
        <f aca="false">H6^2*F6*(1-F6)/C6</f>
        <v>0</v>
      </c>
    </row>
    <row r="7" customFormat="false" ht="15" hidden="false" customHeight="false" outlineLevel="0" collapsed="false">
      <c r="A7" s="2" t="s">
        <v>16</v>
      </c>
      <c r="B7" s="8" t="s">
        <v>47</v>
      </c>
      <c r="C7" s="9" t="n">
        <v>63</v>
      </c>
      <c r="D7" s="5" t="n">
        <v>0.95582779742904</v>
      </c>
      <c r="E7" s="5" t="n">
        <v>0.985937365197136</v>
      </c>
      <c r="F7" s="5" t="n">
        <v>1</v>
      </c>
      <c r="G7" s="10" t="n">
        <v>12382</v>
      </c>
      <c r="H7" s="4" t="n">
        <f aca="false">G7/SUMIFS($G:$G,$A:$A,A7)</f>
        <v>0.0411710917887247</v>
      </c>
      <c r="I7" s="4" t="n">
        <f aca="false">H7*D7</f>
        <v>0.0393524739821655</v>
      </c>
      <c r="J7" s="11" t="n">
        <f aca="false">H7^2*D7*(1-D7)/C7</f>
        <v>1.13598587168447E-006</v>
      </c>
      <c r="K7" s="4" t="n">
        <f aca="false">H7*E7</f>
        <v>0.0405921177604646</v>
      </c>
      <c r="L7" s="11" t="n">
        <f aca="false">H7^2*E7*(1-E7)/C7</f>
        <v>3.73044157704478E-007</v>
      </c>
      <c r="M7" s="4" t="n">
        <f aca="false">H7*F7</f>
        <v>0.0411710917887247</v>
      </c>
      <c r="N7" s="11" t="n">
        <f aca="false">H7^2*F7*(1-F7)/C7</f>
        <v>0</v>
      </c>
    </row>
    <row r="8" customFormat="false" ht="15" hidden="false" customHeight="false" outlineLevel="0" collapsed="false">
      <c r="A8" s="2" t="s">
        <v>17</v>
      </c>
      <c r="B8" s="8" t="s">
        <v>42</v>
      </c>
      <c r="C8" s="9" t="n">
        <v>436</v>
      </c>
      <c r="D8" s="5" t="n">
        <v>0.0758562237546712</v>
      </c>
      <c r="E8" s="5" t="n">
        <v>0.968162730669954</v>
      </c>
      <c r="F8" s="5" t="n">
        <v>0.832669414801402</v>
      </c>
      <c r="G8" s="10" t="n">
        <v>108076</v>
      </c>
      <c r="H8" s="4" t="n">
        <f aca="false">G8/SUMIFS($G:$G,$A:$A,A8)</f>
        <v>0.338373006803403</v>
      </c>
      <c r="I8" s="4" t="n">
        <f aca="false">H8*D8</f>
        <v>0.0256676985166198</v>
      </c>
      <c r="J8" s="11" t="n">
        <f aca="false">H8^2*D8*(1-D8)/C8</f>
        <v>1.84092329762656E-005</v>
      </c>
      <c r="K8" s="4" t="n">
        <f aca="false">H8*E8</f>
        <v>0.327600134251785</v>
      </c>
      <c r="L8" s="11" t="n">
        <f aca="false">H8^2*E8*(1-E8)/C8</f>
        <v>8.09448278483307E-006</v>
      </c>
      <c r="M8" s="4" t="n">
        <f aca="false">H8*F8</f>
        <v>0.28175285355958</v>
      </c>
      <c r="N8" s="11" t="n">
        <f aca="false">H8^2*F8*(1-F8)/C8</f>
        <v>3.6589196663825E-005</v>
      </c>
    </row>
    <row r="9" customFormat="false" ht="15" hidden="false" customHeight="false" outlineLevel="0" collapsed="false">
      <c r="A9" s="2" t="s">
        <v>17</v>
      </c>
      <c r="B9" s="8" t="s">
        <v>43</v>
      </c>
      <c r="C9" s="9" t="n">
        <v>155</v>
      </c>
      <c r="D9" s="5" t="n">
        <v>0.257123422265891</v>
      </c>
      <c r="E9" s="5" t="n">
        <v>0.96612500944751</v>
      </c>
      <c r="F9" s="5" t="n">
        <v>0.92461643110876</v>
      </c>
      <c r="G9" s="10" t="n">
        <v>63658</v>
      </c>
      <c r="H9" s="4" t="n">
        <f aca="false">G9/SUMIFS($G:$G,$A:$A,A9)</f>
        <v>0.199305570775112</v>
      </c>
      <c r="I9" s="4" t="n">
        <f aca="false">H9*D9</f>
        <v>0.0512461304343535</v>
      </c>
      <c r="J9" s="11" t="n">
        <f aca="false">H9^2*D9*(1-D9)/C9</f>
        <v>4.89514412370316E-005</v>
      </c>
      <c r="K9" s="4" t="n">
        <f aca="false">H9*E9</f>
        <v>0.192554096448046</v>
      </c>
      <c r="L9" s="11" t="n">
        <f aca="false">H9^2*E9*(1-E9)/C9</f>
        <v>8.38725186284065E-006</v>
      </c>
      <c r="M9" s="4" t="n">
        <f aca="false">H9*F9</f>
        <v>0.184281205550178</v>
      </c>
      <c r="N9" s="11" t="n">
        <f aca="false">H9^2*F9*(1-F9)/C9</f>
        <v>1.78626331372706E-005</v>
      </c>
    </row>
    <row r="10" customFormat="false" ht="15" hidden="false" customHeight="false" outlineLevel="0" collapsed="false">
      <c r="A10" s="2" t="s">
        <v>17</v>
      </c>
      <c r="B10" s="8" t="s">
        <v>44</v>
      </c>
      <c r="C10" s="9" t="n">
        <v>148</v>
      </c>
      <c r="D10" s="5" t="n">
        <v>0.4173646100971</v>
      </c>
      <c r="E10" s="5" t="n">
        <v>0.975808335279789</v>
      </c>
      <c r="F10" s="5" t="n">
        <v>0.940088091027395</v>
      </c>
      <c r="G10" s="10" t="n">
        <v>72967</v>
      </c>
      <c r="H10" s="4" t="n">
        <f aca="false">G10/SUMIFS($G:$G,$A:$A,A10)</f>
        <v>0.228450934411191</v>
      </c>
      <c r="I10" s="4" t="n">
        <f aca="false">H10*D10</f>
        <v>0.095347335166845</v>
      </c>
      <c r="J10" s="11" t="n">
        <f aca="false">H10^2*D10*(1-D10)/C10</f>
        <v>8.57504965477302E-005</v>
      </c>
      <c r="K10" s="4" t="n">
        <f aca="false">H10*E10</f>
        <v>0.222924326000897</v>
      </c>
      <c r="L10" s="11" t="n">
        <f aca="false">H10^2*E10*(1-E10)/C10</f>
        <v>8.324428749566E-006</v>
      </c>
      <c r="M10" s="4" t="n">
        <f aca="false">H10*F10</f>
        <v>0.214764002824041</v>
      </c>
      <c r="N10" s="11" t="n">
        <f aca="false">H10^2*F10*(1-F10)/C10</f>
        <v>1.98612176623994E-005</v>
      </c>
    </row>
    <row r="11" customFormat="false" ht="15" hidden="false" customHeight="false" outlineLevel="0" collapsed="false">
      <c r="A11" s="2" t="s">
        <v>17</v>
      </c>
      <c r="B11" s="8" t="s">
        <v>45</v>
      </c>
      <c r="C11" s="9" t="n">
        <v>113</v>
      </c>
      <c r="D11" s="5" t="n">
        <v>0.529616470359194</v>
      </c>
      <c r="E11" s="5" t="n">
        <v>0.985398617735812</v>
      </c>
      <c r="F11" s="5" t="n">
        <v>0.973595833738927</v>
      </c>
      <c r="G11" s="10" t="n">
        <v>44774</v>
      </c>
      <c r="H11" s="4" t="n">
        <f aca="false">G11/SUMIFS($G:$G,$A:$A,A11)</f>
        <v>0.140182029373918</v>
      </c>
      <c r="I11" s="4" t="n">
        <f aca="false">H11*D11</f>
        <v>0.0742427116048032</v>
      </c>
      <c r="J11" s="11" t="n">
        <f aca="false">H11^2*D11*(1-D11)/C11</f>
        <v>4.33231305535386E-005</v>
      </c>
      <c r="K11" s="4" t="n">
        <f aca="false">H11*E11</f>
        <v>0.13813517797646</v>
      </c>
      <c r="L11" s="11" t="n">
        <f aca="false">H11^2*E11*(1-E11)/C11</f>
        <v>2.50214320424114E-006</v>
      </c>
      <c r="M11" s="4" t="n">
        <f aca="false">H11*F11</f>
        <v>0.136480639763514</v>
      </c>
      <c r="N11" s="11" t="n">
        <f aca="false">H11^2*F11*(1-F11)/C11</f>
        <v>4.4705134693973E-006</v>
      </c>
    </row>
    <row r="12" customFormat="false" ht="15" hidden="false" customHeight="false" outlineLevel="0" collapsed="false">
      <c r="A12" s="2" t="s">
        <v>17</v>
      </c>
      <c r="B12" s="8" t="s">
        <v>46</v>
      </c>
      <c r="C12" s="9" t="n">
        <v>47</v>
      </c>
      <c r="D12" s="5" t="n">
        <v>0.867479162288996</v>
      </c>
      <c r="E12" s="5" t="n">
        <v>0.928766547594032</v>
      </c>
      <c r="F12" s="5" t="n">
        <v>0.981858933949709</v>
      </c>
      <c r="G12" s="10" t="n">
        <v>16587</v>
      </c>
      <c r="H12" s="4" t="n">
        <f aca="false">G12/SUMIFS($G:$G,$A:$A,A12)</f>
        <v>0.0519319096177508</v>
      </c>
      <c r="I12" s="4" t="n">
        <f aca="false">H12*D12</f>
        <v>0.0450498494512744</v>
      </c>
      <c r="J12" s="11" t="n">
        <f aca="false">H12^2*D12*(1-D12)/C12</f>
        <v>6.59650583860377E-006</v>
      </c>
      <c r="K12" s="4" t="n">
        <f aca="false">H12*E12</f>
        <v>0.0482326204056438</v>
      </c>
      <c r="L12" s="11" t="n">
        <f aca="false">H12^2*E12*(1-E12)/C12</f>
        <v>3.79630664549475E-006</v>
      </c>
      <c r="M12" s="4" t="n">
        <f aca="false">H12*F12</f>
        <v>0.0509898094152575</v>
      </c>
      <c r="N12" s="11" t="n">
        <f aca="false">H12^2*F12*(1-F12)/C12</f>
        <v>1.02207467606832E-006</v>
      </c>
    </row>
    <row r="13" customFormat="false" ht="15" hidden="false" customHeight="false" outlineLevel="0" collapsed="false">
      <c r="A13" s="2" t="s">
        <v>17</v>
      </c>
      <c r="B13" s="8" t="s">
        <v>47</v>
      </c>
      <c r="C13" s="9" t="n">
        <v>58</v>
      </c>
      <c r="D13" s="5" t="n">
        <v>0.983068713353976</v>
      </c>
      <c r="E13" s="5" t="n">
        <v>0.983068713353976</v>
      </c>
      <c r="F13" s="5" t="n">
        <v>1</v>
      </c>
      <c r="G13" s="10" t="n">
        <v>13337</v>
      </c>
      <c r="H13" s="4" t="n">
        <f aca="false">G13/SUMIFS($G:$G,$A:$A,A13)</f>
        <v>0.0417565490186256</v>
      </c>
      <c r="I13" s="4" t="n">
        <f aca="false">H13*D13</f>
        <v>0.0410495569178425</v>
      </c>
      <c r="J13" s="11" t="n">
        <f aca="false">H13^2*D13*(1-D13)/C13</f>
        <v>5.00374353130364E-007</v>
      </c>
      <c r="K13" s="4" t="n">
        <f aca="false">H13*E13</f>
        <v>0.0410495569178425</v>
      </c>
      <c r="L13" s="11" t="n">
        <f aca="false">H13^2*E13*(1-E13)/C13</f>
        <v>5.00374353130364E-007</v>
      </c>
      <c r="M13" s="4" t="n">
        <f aca="false">H13*F13</f>
        <v>0.0417565490186256</v>
      </c>
      <c r="N13" s="11" t="n">
        <f aca="false">H13^2*F13*(1-F13)/C13</f>
        <v>0</v>
      </c>
    </row>
    <row r="14" customFormat="false" ht="15" hidden="false" customHeight="false" outlineLevel="0" collapsed="false">
      <c r="A14" s="2" t="s">
        <v>18</v>
      </c>
      <c r="B14" s="8" t="s">
        <v>42</v>
      </c>
      <c r="C14" s="9" t="n">
        <v>254</v>
      </c>
      <c r="D14" s="5" t="n">
        <v>0.0610572926657715</v>
      </c>
      <c r="E14" s="5" t="n">
        <v>0.988242534688919</v>
      </c>
      <c r="F14" s="5" t="n">
        <v>0.849718652087729</v>
      </c>
      <c r="G14" s="10" t="n">
        <v>107434</v>
      </c>
      <c r="H14" s="4" t="n">
        <f aca="false">G14/SUMIFS($G:$G,$A:$A,A14)</f>
        <v>0.332029125253424</v>
      </c>
      <c r="I14" s="4" t="n">
        <f aca="false">H14*D14</f>
        <v>0.0202727994741584</v>
      </c>
      <c r="J14" s="11" t="n">
        <f aca="false">H14^2*D14*(1-D14)/C14</f>
        <v>2.4882572745368E-005</v>
      </c>
      <c r="K14" s="4" t="n">
        <f aca="false">H14*E14</f>
        <v>0.328125304330989</v>
      </c>
      <c r="L14" s="11" t="n">
        <f aca="false">H14^2*E14*(1-E14)/C14</f>
        <v>5.04308042609418E-006</v>
      </c>
      <c r="M14" s="4" t="n">
        <f aca="false">H14*F14</f>
        <v>0.282131340764208</v>
      </c>
      <c r="N14" s="11" t="n">
        <f aca="false">H14^2*F14*(1-F14)/C14</f>
        <v>5.54241292878197E-005</v>
      </c>
    </row>
    <row r="15" customFormat="false" ht="15" hidden="false" customHeight="false" outlineLevel="0" collapsed="false">
      <c r="A15" s="2" t="s">
        <v>18</v>
      </c>
      <c r="B15" s="8" t="s">
        <v>43</v>
      </c>
      <c r="C15" s="9" t="n">
        <v>180</v>
      </c>
      <c r="D15" s="5" t="n">
        <v>0.279577523093118</v>
      </c>
      <c r="E15" s="5" t="n">
        <v>0.982731906941537</v>
      </c>
      <c r="F15" s="5" t="n">
        <v>0.896095755124247</v>
      </c>
      <c r="G15" s="10" t="n">
        <v>64372</v>
      </c>
      <c r="H15" s="4" t="n">
        <f aca="false">G15/SUMIFS($G:$G,$A:$A,A15)</f>
        <v>0.198944271374178</v>
      </c>
      <c r="I15" s="4" t="n">
        <f aca="false">H15*D15</f>
        <v>0.0556203466243577</v>
      </c>
      <c r="J15" s="11" t="n">
        <f aca="false">H15^2*D15*(1-D15)/C15</f>
        <v>4.42873687452686E-005</v>
      </c>
      <c r="K15" s="4" t="n">
        <f aca="false">H15*E15</f>
        <v>0.19550888318264</v>
      </c>
      <c r="L15" s="11" t="n">
        <f aca="false">H15^2*E15*(1-E15)/C15</f>
        <v>3.73138282570176E-006</v>
      </c>
      <c r="M15" s="4" t="n">
        <f aca="false">H15*F15</f>
        <v>0.178273117084687</v>
      </c>
      <c r="N15" s="11" t="n">
        <f aca="false">H15^2*F15*(1-F15)/C15</f>
        <v>2.04728394940334E-005</v>
      </c>
    </row>
    <row r="16" customFormat="false" ht="15" hidden="false" customHeight="false" outlineLevel="0" collapsed="false">
      <c r="A16" s="2" t="s">
        <v>18</v>
      </c>
      <c r="B16" s="8" t="s">
        <v>44</v>
      </c>
      <c r="C16" s="9" t="n">
        <v>145</v>
      </c>
      <c r="D16" s="5" t="n">
        <v>0.505896656534954</v>
      </c>
      <c r="E16" s="5" t="n">
        <v>0.982370820668693</v>
      </c>
      <c r="F16" s="5" t="n">
        <v>0.971079027355623</v>
      </c>
      <c r="G16" s="10" t="n">
        <v>75450</v>
      </c>
      <c r="H16" s="4" t="n">
        <f aca="false">G16/SUMIFS($G:$G,$A:$A,A16)</f>
        <v>0.233181278742026</v>
      </c>
      <c r="I16" s="4" t="n">
        <f aca="false">H16*D16</f>
        <v>0.117965629282136</v>
      </c>
      <c r="J16" s="11" t="n">
        <f aca="false">H16^2*D16*(1-D16)/C16</f>
        <v>9.37343902874894E-005</v>
      </c>
      <c r="K16" s="4" t="n">
        <f aca="false">H16*E16</f>
        <v>0.22907048416238</v>
      </c>
      <c r="L16" s="11" t="n">
        <f aca="false">H16^2*E16*(1-E16)/C16</f>
        <v>6.49421865277069E-006</v>
      </c>
      <c r="M16" s="4" t="n">
        <f aca="false">H16*F16</f>
        <v>0.226437449358347</v>
      </c>
      <c r="N16" s="11" t="n">
        <f aca="false">H16^2*F16*(1-F16)/C16</f>
        <v>1.05314174106768E-005</v>
      </c>
    </row>
    <row r="17" customFormat="false" ht="15" hidden="false" customHeight="false" outlineLevel="0" collapsed="false">
      <c r="A17" s="2" t="s">
        <v>18</v>
      </c>
      <c r="B17" s="8" t="s">
        <v>45</v>
      </c>
      <c r="C17" s="9" t="n">
        <v>58</v>
      </c>
      <c r="D17" s="5" t="n">
        <v>0.914794499962432</v>
      </c>
      <c r="E17" s="5" t="n">
        <v>0.983056578255316</v>
      </c>
      <c r="F17" s="5" t="n">
        <v>1</v>
      </c>
      <c r="G17" s="10" t="n">
        <v>46407</v>
      </c>
      <c r="H17" s="4" t="n">
        <f aca="false">G17/SUMIFS($G:$G,$A:$A,A17)</f>
        <v>0.143422711763833</v>
      </c>
      <c r="I17" s="4" t="n">
        <f aca="false">H17*D17</f>
        <v>0.131202307891252</v>
      </c>
      <c r="J17" s="11" t="n">
        <f aca="false">H17^2*D17*(1-D17)/C17</f>
        <v>2.76438826111359E-005</v>
      </c>
      <c r="K17" s="4" t="n">
        <f aca="false">H17*E17</f>
        <v>0.140992640270652</v>
      </c>
      <c r="L17" s="11" t="n">
        <f aca="false">H17^2*E17*(1-E17)/C17</f>
        <v>5.90727923913825E-006</v>
      </c>
      <c r="M17" s="4" t="n">
        <f aca="false">H17*F17</f>
        <v>0.143422711763833</v>
      </c>
      <c r="N17" s="11" t="n">
        <f aca="false">H17^2*F17*(1-F17)/C17</f>
        <v>0</v>
      </c>
    </row>
    <row r="18" customFormat="false" ht="15" hidden="false" customHeight="false" outlineLevel="0" collapsed="false">
      <c r="A18" s="2" t="s">
        <v>18</v>
      </c>
      <c r="B18" s="8" t="s">
        <v>46</v>
      </c>
      <c r="C18" s="9" t="n">
        <v>72</v>
      </c>
      <c r="D18" s="5" t="n">
        <v>0.91683569979716</v>
      </c>
      <c r="E18" s="5" t="n">
        <v>0.986606610189715</v>
      </c>
      <c r="F18" s="5" t="n">
        <v>0.98580121703854</v>
      </c>
      <c r="G18" s="10" t="n">
        <v>17070</v>
      </c>
      <c r="H18" s="4" t="n">
        <f aca="false">G18/SUMIFS($G:$G,$A:$A,A18)</f>
        <v>0.052755525886367</v>
      </c>
      <c r="I18" s="4" t="n">
        <f aca="false">H18*D18</f>
        <v>0.0483681494941945</v>
      </c>
      <c r="J18" s="11" t="n">
        <f aca="false">H18^2*D18*(1-D18)/C18</f>
        <v>2.94735107255416E-006</v>
      </c>
      <c r="K18" s="4" t="n">
        <f aca="false">H18*E18</f>
        <v>0.0520489505635243</v>
      </c>
      <c r="L18" s="11" t="n">
        <f aca="false">H18^2*E18*(1-E18)/C18</f>
        <v>5.10784778445084E-007</v>
      </c>
      <c r="M18" s="4" t="n">
        <f aca="false">H18*F18</f>
        <v>0.0520064616242888</v>
      </c>
      <c r="N18" s="11" t="n">
        <f aca="false">H18^2*F18*(1-F18)/C18</f>
        <v>5.41058080554138E-007</v>
      </c>
    </row>
    <row r="19" customFormat="false" ht="15" hidden="false" customHeight="false" outlineLevel="0" collapsed="false">
      <c r="A19" s="2" t="s">
        <v>18</v>
      </c>
      <c r="B19" s="8" t="s">
        <v>47</v>
      </c>
      <c r="C19" s="9" t="n">
        <v>7</v>
      </c>
      <c r="D19" s="5" t="n">
        <v>1</v>
      </c>
      <c r="E19" s="5" t="n">
        <v>1</v>
      </c>
      <c r="F19" s="5" t="n">
        <v>1</v>
      </c>
      <c r="G19" s="10" t="n">
        <v>12835</v>
      </c>
      <c r="H19" s="4" t="n">
        <f aca="false">G19/SUMIFS($G:$G,$A:$A,A19)</f>
        <v>0.0396670869801711</v>
      </c>
      <c r="I19" s="4" t="n">
        <f aca="false">H19*D19</f>
        <v>0.0396670869801711</v>
      </c>
      <c r="J19" s="11" t="n">
        <f aca="false">H19^2*D19*(1-D19)/C19</f>
        <v>0</v>
      </c>
      <c r="K19" s="4" t="n">
        <f aca="false">H19*E19</f>
        <v>0.0396670869801711</v>
      </c>
      <c r="L19" s="11" t="n">
        <f aca="false">H19^2*E19*(1-E19)/C19</f>
        <v>0</v>
      </c>
      <c r="M19" s="4" t="n">
        <f aca="false">H19*F19</f>
        <v>0.0396670869801711</v>
      </c>
      <c r="N19" s="11" t="n">
        <f aca="false">H19^2*F19*(1-F19)/C19</f>
        <v>0</v>
      </c>
    </row>
    <row r="20" customFormat="false" ht="15" hidden="false" customHeight="false" outlineLevel="0" collapsed="false">
      <c r="A20" s="2" t="s">
        <v>19</v>
      </c>
      <c r="B20" s="8" t="s">
        <v>42</v>
      </c>
      <c r="C20" s="9" t="n">
        <v>244</v>
      </c>
      <c r="D20" s="5" t="n">
        <v>0.0537748531804995</v>
      </c>
      <c r="E20" s="5" t="n">
        <v>0.989386542135428</v>
      </c>
      <c r="F20" s="5" t="n">
        <v>0.848280619825939</v>
      </c>
      <c r="G20" s="10" t="n">
        <v>120329</v>
      </c>
      <c r="H20" s="4" t="n">
        <f aca="false">G20/SUMIFS($G:$G,$A:$A,A20)</f>
        <v>0.337457757834958</v>
      </c>
      <c r="I20" s="4" t="n">
        <f aca="false">H20*D20</f>
        <v>0.0181467413821954</v>
      </c>
      <c r="J20" s="11" t="n">
        <f aca="false">H20^2*D20*(1-D20)/C20</f>
        <v>2.37477640821894E-005</v>
      </c>
      <c r="K20" s="4" t="n">
        <f aca="false">H20*E20</f>
        <v>0.333876164141103</v>
      </c>
      <c r="L20" s="11" t="n">
        <f aca="false">H20^2*E20*(1-E20)/C20</f>
        <v>4.90085559022973E-006</v>
      </c>
      <c r="M20" s="4" t="n">
        <f aca="false">H20*F20</f>
        <v>0.28625887598131</v>
      </c>
      <c r="N20" s="11" t="n">
        <f aca="false">H20^2*F20*(1-F20)/C20</f>
        <v>6.00661244710047E-005</v>
      </c>
    </row>
    <row r="21" customFormat="false" ht="15" hidden="false" customHeight="false" outlineLevel="0" collapsed="false">
      <c r="A21" s="2" t="s">
        <v>19</v>
      </c>
      <c r="B21" s="8" t="s">
        <v>43</v>
      </c>
      <c r="C21" s="9" t="n">
        <v>224</v>
      </c>
      <c r="D21" s="5" t="n">
        <v>0.236903467944966</v>
      </c>
      <c r="E21" s="5" t="n">
        <v>0.996163243313546</v>
      </c>
      <c r="F21" s="5" t="n">
        <v>0.913528980054439</v>
      </c>
      <c r="G21" s="10" t="n">
        <v>70887</v>
      </c>
      <c r="H21" s="4" t="n">
        <f aca="false">G21/SUMIFS($G:$G,$A:$A,A21)</f>
        <v>0.1987996915095</v>
      </c>
      <c r="I21" s="4" t="n">
        <f aca="false">H21*D21</f>
        <v>0.04709633634499</v>
      </c>
      <c r="J21" s="11" t="n">
        <f aca="false">H21^2*D21*(1-D21)/C21</f>
        <v>3.18958582120145E-005</v>
      </c>
      <c r="K21" s="4" t="n">
        <f aca="false">H21*E21</f>
        <v>0.198036945463836</v>
      </c>
      <c r="L21" s="11" t="n">
        <f aca="false">H21^2*E21*(1-E21)/C21</f>
        <v>6.74338826106895E-007</v>
      </c>
      <c r="M21" s="4" t="n">
        <f aca="false">H21*F21</f>
        <v>0.181609279419811</v>
      </c>
      <c r="N21" s="11" t="n">
        <f aca="false">H21^2*F21*(1-F21)/C21</f>
        <v>1.39372247881164E-005</v>
      </c>
    </row>
    <row r="22" customFormat="false" ht="15" hidden="false" customHeight="false" outlineLevel="0" collapsed="false">
      <c r="A22" s="2" t="s">
        <v>19</v>
      </c>
      <c r="B22" s="8" t="s">
        <v>44</v>
      </c>
      <c r="C22" s="9" t="n">
        <v>143</v>
      </c>
      <c r="D22" s="5" t="n">
        <v>0.492901269784349</v>
      </c>
      <c r="E22" s="5" t="n">
        <v>0.992355213613914</v>
      </c>
      <c r="F22" s="5" t="n">
        <v>0.976707036789516</v>
      </c>
      <c r="G22" s="10" t="n">
        <v>81607</v>
      </c>
      <c r="H22" s="4" t="n">
        <f aca="false">G22/SUMIFS($G:$G,$A:$A,A22)</f>
        <v>0.228863492953797</v>
      </c>
      <c r="I22" s="4" t="n">
        <f aca="false">H22*D22</f>
        <v>0.112807106284208</v>
      </c>
      <c r="J22" s="11" t="n">
        <f aca="false">H22^2*D22*(1-D22)/C22</f>
        <v>9.15523436783036E-005</v>
      </c>
      <c r="K22" s="4" t="n">
        <f aca="false">H22*E22</f>
        <v>0.227113880438591</v>
      </c>
      <c r="L22" s="11" t="n">
        <f aca="false">H22^2*E22*(1-E22)/C22</f>
        <v>2.77875026288252E-006</v>
      </c>
      <c r="M22" s="4" t="n">
        <f aca="false">H22*F22</f>
        <v>0.223532584032201</v>
      </c>
      <c r="N22" s="11" t="n">
        <f aca="false">H22^2*F22*(1-F22)/C22</f>
        <v>8.33308983555665E-006</v>
      </c>
    </row>
    <row r="23" customFormat="false" ht="15" hidden="false" customHeight="false" outlineLevel="0" collapsed="false">
      <c r="A23" s="2" t="s">
        <v>19</v>
      </c>
      <c r="B23" s="8" t="s">
        <v>45</v>
      </c>
      <c r="C23" s="9" t="n">
        <v>108</v>
      </c>
      <c r="D23" s="5" t="n">
        <v>0.892236158324542</v>
      </c>
      <c r="E23" s="5" t="n">
        <v>1</v>
      </c>
      <c r="F23" s="5" t="n">
        <v>1</v>
      </c>
      <c r="G23" s="10" t="n">
        <v>48115</v>
      </c>
      <c r="H23" s="4" t="n">
        <f aca="false">G23/SUMIFS($G:$G,$A:$A,A23)</f>
        <v>0.13493654911309</v>
      </c>
      <c r="I23" s="4" t="n">
        <f aca="false">H23*D23</f>
        <v>0.120395268198234</v>
      </c>
      <c r="J23" s="11" t="n">
        <f aca="false">H23^2*D23*(1-D23)/C23</f>
        <v>1.62101982934251E-005</v>
      </c>
      <c r="K23" s="4" t="n">
        <f aca="false">H23*E23</f>
        <v>0.13493654911309</v>
      </c>
      <c r="L23" s="11" t="n">
        <f aca="false">H23^2*E23*(1-E23)/C23</f>
        <v>0</v>
      </c>
      <c r="M23" s="4" t="n">
        <f aca="false">H23*F23</f>
        <v>0.13493654911309</v>
      </c>
      <c r="N23" s="11" t="n">
        <f aca="false">H23^2*F23*(1-F23)/C23</f>
        <v>0</v>
      </c>
    </row>
    <row r="24" customFormat="false" ht="15" hidden="false" customHeight="false" outlineLevel="0" collapsed="false">
      <c r="A24" s="2" t="s">
        <v>19</v>
      </c>
      <c r="B24" s="8" t="s">
        <v>46</v>
      </c>
      <c r="C24" s="9" t="n">
        <v>24</v>
      </c>
      <c r="D24" s="5" t="n">
        <v>0.953141905950895</v>
      </c>
      <c r="E24" s="5" t="n">
        <v>1</v>
      </c>
      <c r="F24" s="5" t="n">
        <v>1</v>
      </c>
      <c r="G24" s="10" t="n">
        <v>19118</v>
      </c>
      <c r="H24" s="4" t="n">
        <f aca="false">G24/SUMIFS($G:$G,$A:$A,A24)</f>
        <v>0.0536156488817219</v>
      </c>
      <c r="I24" s="4" t="n">
        <f aca="false">H24*D24</f>
        <v>0.0511033217639184</v>
      </c>
      <c r="J24" s="11" t="n">
        <f aca="false">H24^2*D24*(1-D24)/C24</f>
        <v>5.34951087822215E-006</v>
      </c>
      <c r="K24" s="4" t="n">
        <f aca="false">H24*E24</f>
        <v>0.0536156488817219</v>
      </c>
      <c r="L24" s="11" t="n">
        <f aca="false">H24^2*E24*(1-E24)/C24</f>
        <v>0</v>
      </c>
      <c r="M24" s="4" t="n">
        <f aca="false">H24*F24</f>
        <v>0.0536156488817219</v>
      </c>
      <c r="N24" s="11" t="n">
        <f aca="false">H24^2*F24*(1-F24)/C24</f>
        <v>0</v>
      </c>
    </row>
    <row r="25" customFormat="false" ht="15" hidden="false" customHeight="false" outlineLevel="0" collapsed="false">
      <c r="A25" s="2" t="s">
        <v>19</v>
      </c>
      <c r="B25" s="8" t="s">
        <v>47</v>
      </c>
      <c r="C25" s="9" t="n">
        <v>22</v>
      </c>
      <c r="D25" s="5" t="n">
        <v>1</v>
      </c>
      <c r="E25" s="5" t="n">
        <v>0.948663640948059</v>
      </c>
      <c r="F25" s="5" t="n">
        <v>1</v>
      </c>
      <c r="G25" s="10" t="n">
        <v>16519</v>
      </c>
      <c r="H25" s="4" t="n">
        <f aca="false">G25/SUMIFS($G:$G,$A:$A,A25)</f>
        <v>0.046326859706934</v>
      </c>
      <c r="I25" s="4" t="n">
        <f aca="false">H25*D25</f>
        <v>0.046326859706934</v>
      </c>
      <c r="J25" s="11" t="n">
        <f aca="false">H25^2*D25*(1-D25)/C25</f>
        <v>0</v>
      </c>
      <c r="K25" s="4" t="n">
        <f aca="false">H25*E25</f>
        <v>0.0439486074032699</v>
      </c>
      <c r="L25" s="11" t="n">
        <f aca="false">H25^2*E25*(1-E25)/C25</f>
        <v>4.75094894543887E-006</v>
      </c>
      <c r="M25" s="4" t="n">
        <f aca="false">H25*F25</f>
        <v>0.046326859706934</v>
      </c>
      <c r="N25" s="11" t="n">
        <f aca="false">H25^2*F25*(1-F25)/C25</f>
        <v>0</v>
      </c>
    </row>
    <row r="26" customFormat="false" ht="15" hidden="false" customHeight="false" outlineLevel="0" collapsed="false">
      <c r="A26" s="2" t="s">
        <v>20</v>
      </c>
      <c r="B26" s="8" t="s">
        <v>42</v>
      </c>
      <c r="C26" s="9" t="n">
        <v>277</v>
      </c>
      <c r="D26" s="5" t="n">
        <v>0.0727254402257642</v>
      </c>
      <c r="E26" s="5" t="n">
        <v>0.974529537960923</v>
      </c>
      <c r="F26" s="5" t="n">
        <v>0.90435978287475</v>
      </c>
      <c r="G26" s="10" t="n">
        <v>103912</v>
      </c>
      <c r="H26" s="4" t="n">
        <f aca="false">G26/SUMIFS($G:$G,$A:$A,A26)</f>
        <v>0.327715403052857</v>
      </c>
      <c r="I26" s="4" t="n">
        <f aca="false">H26*D26</f>
        <v>0.0238332469557828</v>
      </c>
      <c r="J26" s="11" t="n">
        <f aca="false">H26^2*D26*(1-D26)/C26</f>
        <v>2.61462038690156E-005</v>
      </c>
      <c r="K26" s="4" t="n">
        <f aca="false">H26*E26</f>
        <v>0.319368340319779</v>
      </c>
      <c r="L26" s="11" t="n">
        <f aca="false">H26^2*E26*(1-E26)/C26</f>
        <v>9.62378184696163E-006</v>
      </c>
      <c r="M26" s="4" t="n">
        <f aca="false">H26*F26</f>
        <v>0.296372630749593</v>
      </c>
      <c r="N26" s="11" t="n">
        <f aca="false">H26^2*F26*(1-F26)/C26</f>
        <v>3.35348010198696E-005</v>
      </c>
    </row>
    <row r="27" customFormat="false" ht="15" hidden="false" customHeight="false" outlineLevel="0" collapsed="false">
      <c r="A27" s="2" t="s">
        <v>20</v>
      </c>
      <c r="B27" s="8" t="s">
        <v>43</v>
      </c>
      <c r="C27" s="9" t="n">
        <v>184</v>
      </c>
      <c r="D27" s="5" t="n">
        <v>0.203037569944045</v>
      </c>
      <c r="E27" s="5" t="n">
        <v>0.981096812690693</v>
      </c>
      <c r="F27" s="5" t="n">
        <v>0.930455635491607</v>
      </c>
      <c r="G27" s="10" t="n">
        <v>63193</v>
      </c>
      <c r="H27" s="4" t="n">
        <f aca="false">G27/SUMIFS($G:$G,$A:$A,A27)</f>
        <v>0.199296707455532</v>
      </c>
      <c r="I27" s="4" t="n">
        <f aca="false">H27*D27</f>
        <v>0.0404647191796204</v>
      </c>
      <c r="J27" s="11" t="n">
        <f aca="false">H27^2*D27*(1-D27)/C27</f>
        <v>3.49298467517691E-005</v>
      </c>
      <c r="K27" s="4" t="n">
        <f aca="false">H27*E27</f>
        <v>0.195529364464372</v>
      </c>
      <c r="L27" s="11" t="n">
        <f aca="false">H27^2*E27*(1-E27)/C27</f>
        <v>4.00340315641769E-006</v>
      </c>
      <c r="M27" s="4" t="n">
        <f aca="false">H27*F27</f>
        <v>0.185436744586922</v>
      </c>
      <c r="N27" s="11" t="n">
        <f aca="false">H27^2*F27*(1-F27)/C27</f>
        <v>1.39681869263624E-005</v>
      </c>
    </row>
    <row r="28" customFormat="false" ht="15" hidden="false" customHeight="false" outlineLevel="0" collapsed="false">
      <c r="A28" s="2" t="s">
        <v>20</v>
      </c>
      <c r="B28" s="8" t="s">
        <v>44</v>
      </c>
      <c r="C28" s="9" t="n">
        <v>131</v>
      </c>
      <c r="D28" s="5" t="n">
        <v>0.428684990980524</v>
      </c>
      <c r="E28" s="5" t="n">
        <v>0.982557250741432</v>
      </c>
      <c r="F28" s="5" t="n">
        <v>0.968722291864127</v>
      </c>
      <c r="G28" s="10" t="n">
        <v>73434</v>
      </c>
      <c r="H28" s="4" t="n">
        <f aca="false">G28/SUMIFS($G:$G,$A:$A,A28)</f>
        <v>0.231594550271225</v>
      </c>
      <c r="I28" s="4" t="n">
        <f aca="false">H28*D28</f>
        <v>0.0992811076941586</v>
      </c>
      <c r="J28" s="11" t="n">
        <f aca="false">H28^2*D28*(1-D28)/C28</f>
        <v>0.0001002765278006</v>
      </c>
      <c r="K28" s="4" t="n">
        <f aca="false">H28*E28</f>
        <v>0.227554904601193</v>
      </c>
      <c r="L28" s="11" t="n">
        <f aca="false">H28^2*E28*(1-E28)/C28</f>
        <v>7.01710828295216E-006</v>
      </c>
      <c r="M28" s="4" t="n">
        <f aca="false">H28*F28</f>
        <v>0.224350803521983</v>
      </c>
      <c r="N28" s="11" t="n">
        <f aca="false">H28^2*F28*(1-F28)/C28</f>
        <v>1.24056519366582E-005</v>
      </c>
    </row>
    <row r="29" customFormat="false" ht="15" hidden="false" customHeight="false" outlineLevel="0" collapsed="false">
      <c r="A29" s="2" t="s">
        <v>20</v>
      </c>
      <c r="B29" s="8" t="s">
        <v>45</v>
      </c>
      <c r="C29" s="9" t="n">
        <v>49</v>
      </c>
      <c r="D29" s="5" t="n">
        <v>0.770505050505051</v>
      </c>
      <c r="E29" s="5" t="n">
        <v>0.955050505050505</v>
      </c>
      <c r="F29" s="5" t="n">
        <v>1</v>
      </c>
      <c r="G29" s="10" t="n">
        <v>46136</v>
      </c>
      <c r="H29" s="4" t="n">
        <f aca="false">G29/SUMIFS($G:$G,$A:$A,A29)</f>
        <v>0.145502712249275</v>
      </c>
      <c r="I29" s="4" t="n">
        <f aca="false">H29*D29</f>
        <v>0.112110574650249</v>
      </c>
      <c r="J29" s="11" t="n">
        <f aca="false">H29^2*D29*(1-D29)/C29</f>
        <v>7.64002394903456E-005</v>
      </c>
      <c r="K29" s="4" t="n">
        <f aca="false">H29*E29</f>
        <v>0.138962438819888</v>
      </c>
      <c r="L29" s="11" t="n">
        <f aca="false">H29^2*E29*(1-E29)/C29</f>
        <v>1.8548007067275E-005</v>
      </c>
      <c r="M29" s="4" t="n">
        <f aca="false">H29*F29</f>
        <v>0.145502712249275</v>
      </c>
      <c r="N29" s="11" t="n">
        <f aca="false">H29^2*F29*(1-F29)/C29</f>
        <v>0</v>
      </c>
    </row>
    <row r="30" customFormat="false" ht="15" hidden="false" customHeight="false" outlineLevel="0" collapsed="false">
      <c r="A30" s="2" t="s">
        <v>20</v>
      </c>
      <c r="B30" s="8" t="s">
        <v>46</v>
      </c>
      <c r="C30" s="9" t="n">
        <v>47</v>
      </c>
      <c r="D30" s="5" t="n">
        <v>0.956350825143705</v>
      </c>
      <c r="E30" s="5" t="n">
        <v>0.963693676988689</v>
      </c>
      <c r="F30" s="5" t="n">
        <v>1</v>
      </c>
      <c r="G30" s="10" t="n">
        <v>17318</v>
      </c>
      <c r="H30" s="4" t="n">
        <f aca="false">G30/SUMIFS($G:$G,$A:$A,A30)</f>
        <v>0.0546171313233253</v>
      </c>
      <c r="I30" s="4" t="n">
        <f aca="false">H30*D30</f>
        <v>0.0522331386080443</v>
      </c>
      <c r="J30" s="11" t="n">
        <f aca="false">H30^2*D30*(1-D30)/C30</f>
        <v>2.64943450931582E-006</v>
      </c>
      <c r="K30" s="4" t="n">
        <f aca="false">H30*E30</f>
        <v>0.0526341841115495</v>
      </c>
      <c r="L30" s="11" t="n">
        <f aca="false">H30^2*E30*(1-E30)/C30</f>
        <v>2.22065550272539E-006</v>
      </c>
      <c r="M30" s="4" t="n">
        <f aca="false">H30*F30</f>
        <v>0.0546171313233253</v>
      </c>
      <c r="N30" s="11" t="n">
        <f aca="false">H30^2*F30*(1-F30)/C30</f>
        <v>0</v>
      </c>
    </row>
    <row r="31" customFormat="false" ht="15" hidden="false" customHeight="false" outlineLevel="0" collapsed="false">
      <c r="A31" s="2" t="s">
        <v>20</v>
      </c>
      <c r="B31" s="8" t="s">
        <v>47</v>
      </c>
      <c r="C31" s="9" t="n">
        <v>27</v>
      </c>
      <c r="D31" s="5" t="n">
        <v>0.933720759158452</v>
      </c>
      <c r="E31" s="5" t="n">
        <v>1</v>
      </c>
      <c r="F31" s="5" t="n">
        <v>1</v>
      </c>
      <c r="G31" s="10" t="n">
        <v>13087</v>
      </c>
      <c r="H31" s="4" t="n">
        <f aca="false">G31/SUMIFS($G:$G,$A:$A,A31)</f>
        <v>0.0412734956477861</v>
      </c>
      <c r="I31" s="4" t="n">
        <f aca="false">H31*D31</f>
        <v>0.0385379196893739</v>
      </c>
      <c r="J31" s="11" t="n">
        <f aca="false">H31^2*D31*(1-D31)/C31</f>
        <v>3.90457061442484E-006</v>
      </c>
      <c r="K31" s="4" t="n">
        <f aca="false">H31*E31</f>
        <v>0.0412734956477861</v>
      </c>
      <c r="L31" s="11" t="n">
        <f aca="false">H31^2*E31*(1-E31)/C31</f>
        <v>0</v>
      </c>
      <c r="M31" s="4" t="n">
        <f aca="false">H31*F31</f>
        <v>0.0412734956477861</v>
      </c>
      <c r="N31" s="11" t="n">
        <f aca="false">H31^2*F31*(1-F31)/C31</f>
        <v>0</v>
      </c>
    </row>
    <row r="32" customFormat="false" ht="15" hidden="false" customHeight="false" outlineLevel="0" collapsed="false">
      <c r="A32" s="2" t="s">
        <v>21</v>
      </c>
      <c r="B32" s="8" t="s">
        <v>42</v>
      </c>
      <c r="C32" s="9" t="n">
        <v>265</v>
      </c>
      <c r="D32" s="5" t="n">
        <v>0.117739326158824</v>
      </c>
      <c r="E32" s="5" t="n">
        <v>0.970211718365337</v>
      </c>
      <c r="F32" s="5" t="n">
        <v>0.840852500527538</v>
      </c>
      <c r="G32" s="10" t="n">
        <v>109093</v>
      </c>
      <c r="H32" s="4" t="n">
        <f aca="false">G32/SUMIFS($G:$G,$A:$A,A32)</f>
        <v>0.333585092590328</v>
      </c>
      <c r="I32" s="4" t="n">
        <f aca="false">H32*D32</f>
        <v>0.039276084018214</v>
      </c>
      <c r="J32" s="11" t="n">
        <f aca="false">H32^2*D32*(1-D32)/C32</f>
        <v>4.36200201811155E-005</v>
      </c>
      <c r="K32" s="4" t="n">
        <f aca="false">H32*E32</f>
        <v>0.323648165903122</v>
      </c>
      <c r="L32" s="11" t="n">
        <f aca="false">H32^2*E32*(1-E32)/C32</f>
        <v>1.21361060265204E-005</v>
      </c>
      <c r="M32" s="4" t="n">
        <f aca="false">H32*F32</f>
        <v>0.280495859243287</v>
      </c>
      <c r="N32" s="11" t="n">
        <f aca="false">H32^2*F32*(1-F32)/C32</f>
        <v>5.61936231103604E-005</v>
      </c>
    </row>
    <row r="33" customFormat="false" ht="15" hidden="false" customHeight="false" outlineLevel="0" collapsed="false">
      <c r="A33" s="2" t="s">
        <v>21</v>
      </c>
      <c r="B33" s="8" t="s">
        <v>43</v>
      </c>
      <c r="C33" s="9" t="n">
        <v>175</v>
      </c>
      <c r="D33" s="5" t="n">
        <v>0.276951353210516</v>
      </c>
      <c r="E33" s="5" t="n">
        <v>0.988434833078957</v>
      </c>
      <c r="F33" s="5" t="n">
        <v>0.913325737870548</v>
      </c>
      <c r="G33" s="10" t="n">
        <v>63795</v>
      </c>
      <c r="H33" s="4" t="n">
        <f aca="false">G33/SUMIFS($G:$G,$A:$A,A33)</f>
        <v>0.195072653440642</v>
      </c>
      <c r="I33" s="4" t="n">
        <f aca="false">H33*D33</f>
        <v>0.0540256353447518</v>
      </c>
      <c r="J33" s="11" t="n">
        <f aca="false">H33^2*D33*(1-D33)/C33</f>
        <v>4.35437415206467E-005</v>
      </c>
      <c r="K33" s="4" t="n">
        <f aca="false">H33*E33</f>
        <v>0.19281660564187</v>
      </c>
      <c r="L33" s="11" t="n">
        <f aca="false">H33^2*E33*(1-E33)/C33</f>
        <v>2.48573416414281E-006</v>
      </c>
      <c r="M33" s="4" t="n">
        <f aca="false">H33*F33</f>
        <v>0.17816487514204</v>
      </c>
      <c r="N33" s="11" t="n">
        <f aca="false">H33^2*F33*(1-F33)/C33</f>
        <v>1.72135554828556E-005</v>
      </c>
    </row>
    <row r="34" customFormat="false" ht="15" hidden="false" customHeight="false" outlineLevel="0" collapsed="false">
      <c r="A34" s="2" t="s">
        <v>21</v>
      </c>
      <c r="B34" s="8" t="s">
        <v>44</v>
      </c>
      <c r="C34" s="9" t="n">
        <v>127</v>
      </c>
      <c r="D34" s="5" t="n">
        <v>0.45703668020095</v>
      </c>
      <c r="E34" s="5" t="n">
        <v>0.992168467414493</v>
      </c>
      <c r="F34" s="5" t="n">
        <v>0.975596999518271</v>
      </c>
      <c r="G34" s="10" t="n">
        <v>74884</v>
      </c>
      <c r="H34" s="4" t="n">
        <f aca="false">G34/SUMIFS($G:$G,$A:$A,A34)</f>
        <v>0.2289806502116</v>
      </c>
      <c r="I34" s="4" t="n">
        <f aca="false">H34*D34</f>
        <v>0.104652556202965</v>
      </c>
      <c r="J34" s="11" t="n">
        <f aca="false">H34^2*D34*(1-D34)/C34</f>
        <v>0.000102450809809813</v>
      </c>
      <c r="K34" s="4" t="n">
        <f aca="false">H34*E34</f>
        <v>0.227187380788017</v>
      </c>
      <c r="L34" s="11" t="n">
        <f aca="false">H34^2*E34*(1-E34)/C34</f>
        <v>3.20793845189755E-006</v>
      </c>
      <c r="M34" s="4" t="n">
        <f aca="false">H34*F34</f>
        <v>0.22339283529418</v>
      </c>
      <c r="N34" s="11" t="n">
        <f aca="false">H34^2*F34*(1-F34)/C34</f>
        <v>9.82895919292614E-006</v>
      </c>
    </row>
    <row r="35" customFormat="false" ht="15" hidden="false" customHeight="false" outlineLevel="0" collapsed="false">
      <c r="A35" s="2" t="s">
        <v>21</v>
      </c>
      <c r="B35" s="8" t="s">
        <v>45</v>
      </c>
      <c r="C35" s="9" t="n">
        <v>65</v>
      </c>
      <c r="D35" s="5" t="n">
        <v>0.77352718144497</v>
      </c>
      <c r="E35" s="5" t="n">
        <v>1</v>
      </c>
      <c r="F35" s="5" t="n">
        <v>1</v>
      </c>
      <c r="G35" s="10" t="n">
        <v>48320</v>
      </c>
      <c r="H35" s="4" t="n">
        <f aca="false">G35/SUMIFS($G:$G,$A:$A,A35)</f>
        <v>0.147753125076445</v>
      </c>
      <c r="I35" s="4" t="n">
        <f aca="false">H35*D35</f>
        <v>0.114291058390069</v>
      </c>
      <c r="J35" s="11" t="n">
        <f aca="false">H35^2*D35*(1-D35)/C35</f>
        <v>5.88371541154618E-005</v>
      </c>
      <c r="K35" s="4" t="n">
        <f aca="false">H35*E35</f>
        <v>0.147753125076445</v>
      </c>
      <c r="L35" s="11" t="n">
        <f aca="false">H35^2*E35*(1-E35)/C35</f>
        <v>0</v>
      </c>
      <c r="M35" s="4" t="n">
        <f aca="false">H35*F35</f>
        <v>0.147753125076445</v>
      </c>
      <c r="N35" s="11" t="n">
        <f aca="false">H35^2*F35*(1-F35)/C35</f>
        <v>0</v>
      </c>
    </row>
    <row r="36" customFormat="false" ht="15" hidden="false" customHeight="false" outlineLevel="0" collapsed="false">
      <c r="A36" s="2" t="s">
        <v>21</v>
      </c>
      <c r="B36" s="8" t="s">
        <v>46</v>
      </c>
      <c r="C36" s="9" t="n">
        <v>45</v>
      </c>
      <c r="D36" s="5" t="n">
        <v>0.887753926500518</v>
      </c>
      <c r="E36" s="5" t="n">
        <v>1</v>
      </c>
      <c r="F36" s="5" t="n">
        <v>0.949349103337046</v>
      </c>
      <c r="G36" s="10" t="n">
        <v>17642</v>
      </c>
      <c r="H36" s="4" t="n">
        <f aca="false">G36/SUMIFS($G:$G,$A:$A,A36)</f>
        <v>0.0539457912375547</v>
      </c>
      <c r="I36" s="4" t="n">
        <f aca="false">H36*D36</f>
        <v>0.0478905879893165</v>
      </c>
      <c r="J36" s="11" t="n">
        <f aca="false">H36^2*D36*(1-D36)/C36</f>
        <v>6.4441609767322E-006</v>
      </c>
      <c r="K36" s="4" t="n">
        <f aca="false">H36*E36</f>
        <v>0.0539457912375547</v>
      </c>
      <c r="L36" s="11" t="n">
        <f aca="false">H36^2*E36*(1-E36)/C36</f>
        <v>0</v>
      </c>
      <c r="M36" s="4" t="n">
        <f aca="false">H36*F36</f>
        <v>0.05121338854018</v>
      </c>
      <c r="N36" s="11" t="n">
        <f aca="false">H36^2*F36*(1-F36)/C36</f>
        <v>3.10968002197526E-006</v>
      </c>
    </row>
    <row r="37" customFormat="false" ht="15" hidden="false" customHeight="false" outlineLevel="0" collapsed="false">
      <c r="A37" s="2" t="s">
        <v>21</v>
      </c>
      <c r="B37" s="8" t="s">
        <v>47</v>
      </c>
      <c r="C37" s="9" t="n">
        <v>10</v>
      </c>
      <c r="D37" s="5" t="n">
        <v>1</v>
      </c>
      <c r="E37" s="5" t="n">
        <v>1</v>
      </c>
      <c r="F37" s="5" t="n">
        <v>1</v>
      </c>
      <c r="G37" s="10" t="n">
        <v>13298</v>
      </c>
      <c r="H37" s="4" t="n">
        <f aca="false">G37/SUMIFS($G:$G,$A:$A,A37)</f>
        <v>0.0406626874434306</v>
      </c>
      <c r="I37" s="4" t="n">
        <f aca="false">H37*D37</f>
        <v>0.0406626874434306</v>
      </c>
      <c r="J37" s="11" t="n">
        <f aca="false">H37^2*D37*(1-D37)/C37</f>
        <v>0</v>
      </c>
      <c r="K37" s="4" t="n">
        <f aca="false">H37*E37</f>
        <v>0.0406626874434306</v>
      </c>
      <c r="L37" s="11" t="n">
        <f aca="false">H37^2*E37*(1-E37)/C37</f>
        <v>0</v>
      </c>
      <c r="M37" s="4" t="n">
        <f aca="false">H37*F37</f>
        <v>0.0406626874434306</v>
      </c>
      <c r="N37" s="11" t="n">
        <f aca="false">H37^2*F37*(1-F37)/C37</f>
        <v>0</v>
      </c>
    </row>
    <row r="38" customFormat="false" ht="15" hidden="false" customHeight="false" outlineLevel="0" collapsed="false">
      <c r="A38" s="2" t="s">
        <v>22</v>
      </c>
      <c r="B38" s="8" t="s">
        <v>42</v>
      </c>
      <c r="C38" s="9" t="n">
        <v>250</v>
      </c>
      <c r="D38" s="5" t="n">
        <v>0.124220182254068</v>
      </c>
      <c r="E38" s="5" t="n">
        <v>0.997421313115712</v>
      </c>
      <c r="F38" s="5" t="n">
        <v>0.875323175276839</v>
      </c>
      <c r="G38" s="10" t="n">
        <v>109983</v>
      </c>
      <c r="H38" s="4" t="n">
        <f aca="false">G38/SUMIFS($G:$G,$A:$A,A38)</f>
        <v>0.333179844956544</v>
      </c>
      <c r="I38" s="4" t="n">
        <f aca="false">H38*D38</f>
        <v>0.0413876610638839</v>
      </c>
      <c r="J38" s="11" t="n">
        <f aca="false">H38^2*D38*(1-D38)/C38</f>
        <v>4.83063840321595E-005</v>
      </c>
      <c r="K38" s="4" t="n">
        <f aca="false">H38*E38</f>
        <v>0.332320678460245</v>
      </c>
      <c r="L38" s="11" t="n">
        <f aca="false">H38^2*E38*(1-E38)/C38</f>
        <v>1.14207517184107E-006</v>
      </c>
      <c r="M38" s="4" t="n">
        <f aca="false">H38*F38</f>
        <v>0.291640039825607</v>
      </c>
      <c r="N38" s="11" t="n">
        <f aca="false">H38^2*F38*(1-F38)/C38</f>
        <v>4.84586816909374E-005</v>
      </c>
    </row>
    <row r="39" customFormat="false" ht="15" hidden="false" customHeight="false" outlineLevel="0" collapsed="false">
      <c r="A39" s="2" t="s">
        <v>22</v>
      </c>
      <c r="B39" s="8" t="s">
        <v>43</v>
      </c>
      <c r="C39" s="9" t="n">
        <v>161</v>
      </c>
      <c r="D39" s="5" t="n">
        <v>0.341815585851142</v>
      </c>
      <c r="E39" s="5" t="n">
        <v>0.97732820560059</v>
      </c>
      <c r="F39" s="5" t="n">
        <v>0.901863025055269</v>
      </c>
      <c r="G39" s="10" t="n">
        <v>63711</v>
      </c>
      <c r="H39" s="4" t="n">
        <f aca="false">G39/SUMIFS($G:$G,$A:$A,A39)</f>
        <v>0.193004565269418</v>
      </c>
      <c r="I39" s="4" t="n">
        <f aca="false">H39*D39</f>
        <v>0.065971968549511</v>
      </c>
      <c r="J39" s="11" t="n">
        <f aca="false">H39^2*D39*(1-D39)/C39</f>
        <v>5.2053356991108E-005</v>
      </c>
      <c r="K39" s="4" t="n">
        <f aca="false">H39*E39</f>
        <v>0.188628805447482</v>
      </c>
      <c r="L39" s="11" t="n">
        <f aca="false">H39^2*E39*(1-E39)/C39</f>
        <v>5.12667296979405E-006</v>
      </c>
      <c r="M39" s="4" t="n">
        <f aca="false">H39*F39</f>
        <v>0.174063681083354</v>
      </c>
      <c r="N39" s="11" t="n">
        <f aca="false">H39^2*F39*(1-F39)/C39</f>
        <v>2.04777641267063E-005</v>
      </c>
    </row>
    <row r="40" customFormat="false" ht="15" hidden="false" customHeight="false" outlineLevel="0" collapsed="false">
      <c r="A40" s="2" t="s">
        <v>22</v>
      </c>
      <c r="B40" s="8" t="s">
        <v>44</v>
      </c>
      <c r="C40" s="9" t="n">
        <v>125</v>
      </c>
      <c r="D40" s="5" t="n">
        <v>0.458074279588877</v>
      </c>
      <c r="E40" s="5" t="n">
        <v>0.96819471593417</v>
      </c>
      <c r="F40" s="5" t="n">
        <v>0.959215587363642</v>
      </c>
      <c r="G40" s="10" t="n">
        <v>75704</v>
      </c>
      <c r="H40" s="4" t="n">
        <f aca="false">G40/SUMIFS($G:$G,$A:$A,A40)</f>
        <v>0.229335869930718</v>
      </c>
      <c r="I40" s="4" t="n">
        <f aca="false">H40*D40</f>
        <v>0.105052863402402</v>
      </c>
      <c r="J40" s="11" t="n">
        <f aca="false">H40^2*D40*(1-D40)/C40</f>
        <v>0.000104450285664472</v>
      </c>
      <c r="K40" s="4" t="n">
        <f aca="false">H40*E40</f>
        <v>0.222041777441087</v>
      </c>
      <c r="L40" s="11" t="n">
        <f aca="false">H40^2*E40*(1-E40)/C40</f>
        <v>1.29567460897384E-005</v>
      </c>
      <c r="M40" s="4" t="n">
        <f aca="false">H40*F40</f>
        <v>0.219982541179146</v>
      </c>
      <c r="N40" s="11" t="n">
        <f aca="false">H40^2*F40*(1-F40)/C40</f>
        <v>1.64605522180391E-005</v>
      </c>
    </row>
    <row r="41" customFormat="false" ht="15" hidden="false" customHeight="false" outlineLevel="0" collapsed="false">
      <c r="A41" s="2" t="s">
        <v>22</v>
      </c>
      <c r="B41" s="8" t="s">
        <v>45</v>
      </c>
      <c r="C41" s="9" t="n">
        <v>52</v>
      </c>
      <c r="D41" s="5" t="n">
        <v>0.781603569886282</v>
      </c>
      <c r="E41" s="5" t="n">
        <v>1</v>
      </c>
      <c r="F41" s="5" t="n">
        <v>1</v>
      </c>
      <c r="G41" s="10" t="n">
        <v>49536</v>
      </c>
      <c r="H41" s="4" t="n">
        <f aca="false">G41/SUMIFS($G:$G,$A:$A,A41)</f>
        <v>0.150063162486633</v>
      </c>
      <c r="I41" s="4" t="n">
        <f aca="false">H41*D41</f>
        <v>0.117289903507977</v>
      </c>
      <c r="J41" s="11" t="n">
        <f aca="false">H41^2*D41*(1-D41)/C41</f>
        <v>7.3922545831701E-005</v>
      </c>
      <c r="K41" s="4" t="n">
        <f aca="false">H41*E41</f>
        <v>0.150063162486633</v>
      </c>
      <c r="L41" s="11" t="n">
        <f aca="false">H41^2*E41*(1-E41)/C41</f>
        <v>0</v>
      </c>
      <c r="M41" s="4" t="n">
        <f aca="false">H41*F41</f>
        <v>0.150063162486633</v>
      </c>
      <c r="N41" s="11" t="n">
        <f aca="false">H41^2*F41*(1-F41)/C41</f>
        <v>0</v>
      </c>
    </row>
    <row r="42" customFormat="false" ht="15" hidden="false" customHeight="false" outlineLevel="0" collapsed="false">
      <c r="A42" s="2" t="s">
        <v>22</v>
      </c>
      <c r="B42" s="8" t="s">
        <v>46</v>
      </c>
      <c r="C42" s="9" t="n">
        <v>38</v>
      </c>
      <c r="D42" s="5" t="n">
        <v>0.81305199042854</v>
      </c>
      <c r="E42" s="5" t="n">
        <v>0.965194692190559</v>
      </c>
      <c r="F42" s="5" t="n">
        <v>1</v>
      </c>
      <c r="G42" s="10" t="n">
        <v>17720</v>
      </c>
      <c r="H42" s="4" t="n">
        <f aca="false">G42/SUMIFS($G:$G,$A:$A,A42)</f>
        <v>0.0536805401983029</v>
      </c>
      <c r="I42" s="4" t="n">
        <f aca="false">H42*D42</f>
        <v>0.0436450700555095</v>
      </c>
      <c r="J42" s="11" t="n">
        <f aca="false">H42^2*D42*(1-D42)/C42</f>
        <v>1.15262841426893E-005</v>
      </c>
      <c r="K42" s="4" t="n">
        <f aca="false">H42*E42</f>
        <v>0.0518121724733239</v>
      </c>
      <c r="L42" s="11" t="n">
        <f aca="false">H42^2*E42*(1-E42)/C42</f>
        <v>2.54747870553168E-006</v>
      </c>
      <c r="M42" s="4" t="n">
        <f aca="false">H42*F42</f>
        <v>0.0536805401983029</v>
      </c>
      <c r="N42" s="11" t="n">
        <f aca="false">H42^2*F42*(1-F42)/C42</f>
        <v>0</v>
      </c>
    </row>
    <row r="43" customFormat="false" ht="15" hidden="false" customHeight="false" outlineLevel="0" collapsed="false">
      <c r="A43" s="2" t="s">
        <v>22</v>
      </c>
      <c r="B43" s="8" t="s">
        <v>47</v>
      </c>
      <c r="C43" s="9" t="n">
        <v>20</v>
      </c>
      <c r="D43" s="5" t="n">
        <v>1</v>
      </c>
      <c r="E43" s="5" t="n">
        <v>1</v>
      </c>
      <c r="F43" s="5" t="n">
        <v>1</v>
      </c>
      <c r="G43" s="10" t="n">
        <v>13447</v>
      </c>
      <c r="H43" s="4" t="n">
        <f aca="false">G43/SUMIFS($G:$G,$A:$A,A43)</f>
        <v>0.0407360171583849</v>
      </c>
      <c r="I43" s="4" t="n">
        <f aca="false">H43*D43</f>
        <v>0.0407360171583849</v>
      </c>
      <c r="J43" s="11" t="n">
        <f aca="false">H43^2*D43*(1-D43)/C43</f>
        <v>0</v>
      </c>
      <c r="K43" s="4" t="n">
        <f aca="false">H43*E43</f>
        <v>0.0407360171583849</v>
      </c>
      <c r="L43" s="11" t="n">
        <f aca="false">H43^2*E43*(1-E43)/C43</f>
        <v>0</v>
      </c>
      <c r="M43" s="4" t="n">
        <f aca="false">H43*F43</f>
        <v>0.0407360171583849</v>
      </c>
      <c r="N43" s="11" t="n">
        <f aca="false">H43^2*F43*(1-F43)/C43</f>
        <v>0</v>
      </c>
    </row>
    <row r="44" customFormat="false" ht="15" hidden="false" customHeight="false" outlineLevel="0" collapsed="false">
      <c r="A44" s="2" t="s">
        <v>23</v>
      </c>
      <c r="B44" s="8" t="s">
        <v>42</v>
      </c>
      <c r="C44" s="9" t="n">
        <v>307</v>
      </c>
      <c r="D44" s="5" t="n">
        <v>0.186373674642199</v>
      </c>
      <c r="E44" s="5" t="n">
        <v>0.978147610390561</v>
      </c>
      <c r="F44" s="5" t="n">
        <v>0.900877267902244</v>
      </c>
      <c r="G44" s="10" t="n">
        <v>106149</v>
      </c>
      <c r="H44" s="4" t="n">
        <f aca="false">G44/SUMIFS($G:$G,$A:$A,A44)</f>
        <v>0.321768942563021</v>
      </c>
      <c r="I44" s="4" t="n">
        <f aca="false">H44*D44</f>
        <v>0.0599692602112049</v>
      </c>
      <c r="J44" s="11" t="n">
        <f aca="false">H44^2*D44*(1-D44)/C44</f>
        <v>5.1139847798589E-005</v>
      </c>
      <c r="K44" s="4" t="n">
        <f aca="false">H44*E44</f>
        <v>0.314737522265916</v>
      </c>
      <c r="L44" s="11" t="n">
        <f aca="false">H44^2*E44*(1-E44)/C44</f>
        <v>7.20863779257616E-006</v>
      </c>
      <c r="M44" s="4" t="n">
        <f aca="false">H44*F44</f>
        <v>0.289874325871968</v>
      </c>
      <c r="N44" s="11" t="n">
        <f aca="false">H44^2*F44*(1-F44)/C44</f>
        <v>3.01154088347352E-005</v>
      </c>
    </row>
    <row r="45" customFormat="false" ht="15" hidden="false" customHeight="false" outlineLevel="0" collapsed="false">
      <c r="A45" s="2" t="s">
        <v>23</v>
      </c>
      <c r="B45" s="8" t="s">
        <v>43</v>
      </c>
      <c r="C45" s="9" t="n">
        <v>142</v>
      </c>
      <c r="D45" s="5" t="n">
        <v>0.346122986647506</v>
      </c>
      <c r="E45" s="5" t="n">
        <v>0.993305790072451</v>
      </c>
      <c r="F45" s="5" t="n">
        <v>0.937560625112269</v>
      </c>
      <c r="G45" s="10" t="n">
        <v>62566</v>
      </c>
      <c r="H45" s="4" t="n">
        <f aca="false">G45/SUMIFS($G:$G,$A:$A,A45)</f>
        <v>0.189656008633128</v>
      </c>
      <c r="I45" s="4" t="n">
        <f aca="false">H45*D45</f>
        <v>0.0656443041437436</v>
      </c>
      <c r="J45" s="11" t="n">
        <f aca="false">H45^2*D45*(1-D45)/C45</f>
        <v>5.73286059639805E-005</v>
      </c>
      <c r="K45" s="4" t="n">
        <f aca="false">H45*E45</f>
        <v>0.188386411497317</v>
      </c>
      <c r="L45" s="11" t="n">
        <f aca="false">H45^2*E45*(1-E45)/C45</f>
        <v>1.68432991875178E-006</v>
      </c>
      <c r="M45" s="4" t="n">
        <f aca="false">H45*F45</f>
        <v>0.177814006010374</v>
      </c>
      <c r="N45" s="11" t="n">
        <f aca="false">H45^2*F45*(1-F45)/C45</f>
        <v>1.48286896164603E-005</v>
      </c>
    </row>
    <row r="46" customFormat="false" ht="15" hidden="false" customHeight="false" outlineLevel="0" collapsed="false">
      <c r="A46" s="2" t="s">
        <v>23</v>
      </c>
      <c r="B46" s="8" t="s">
        <v>44</v>
      </c>
      <c r="C46" s="9" t="n">
        <v>126</v>
      </c>
      <c r="D46" s="5" t="n">
        <v>0.509869170230534</v>
      </c>
      <c r="E46" s="5" t="n">
        <v>0.992711997368221</v>
      </c>
      <c r="F46" s="5" t="n">
        <v>0.983310980084521</v>
      </c>
      <c r="G46" s="10" t="n">
        <v>76977</v>
      </c>
      <c r="H46" s="4" t="n">
        <f aca="false">G46/SUMIFS($G:$G,$A:$A,A46)</f>
        <v>0.233340002182532</v>
      </c>
      <c r="I46" s="4" t="n">
        <f aca="false">H46*D46</f>
        <v>0.118972873294399</v>
      </c>
      <c r="J46" s="11" t="n">
        <f aca="false">H46^2*D46*(1-D46)/C46</f>
        <v>0.000107988777255969</v>
      </c>
      <c r="K46" s="4" t="n">
        <f aca="false">H46*E46</f>
        <v>0.231639419632527</v>
      </c>
      <c r="L46" s="11" t="n">
        <f aca="false">H46^2*E46*(1-E46)/C46</f>
        <v>3.12636472159119E-006</v>
      </c>
      <c r="M46" s="4" t="n">
        <f aca="false">H46*F46</f>
        <v>0.22944578623903</v>
      </c>
      <c r="N46" s="11" t="n">
        <f aca="false">H46^2*F46*(1-F46)/C46</f>
        <v>7.09136062651946E-006</v>
      </c>
    </row>
    <row r="47" customFormat="false" ht="15" hidden="false" customHeight="false" outlineLevel="0" collapsed="false">
      <c r="A47" s="2" t="s">
        <v>23</v>
      </c>
      <c r="B47" s="8" t="s">
        <v>45</v>
      </c>
      <c r="C47" s="9" t="n">
        <v>57</v>
      </c>
      <c r="D47" s="5" t="n">
        <v>0.731094852364777</v>
      </c>
      <c r="E47" s="5" t="n">
        <v>1</v>
      </c>
      <c r="F47" s="5" t="n">
        <v>1</v>
      </c>
      <c r="G47" s="10" t="n">
        <v>51774</v>
      </c>
      <c r="H47" s="4" t="n">
        <f aca="false">G47/SUMIFS($G:$G,$A:$A,A47)</f>
        <v>0.156942272016296</v>
      </c>
      <c r="I47" s="4" t="n">
        <f aca="false">H47*D47</f>
        <v>0.114739687189547</v>
      </c>
      <c r="J47" s="11" t="n">
        <f aca="false">H47^2*D47*(1-D47)/C47</f>
        <v>8.4952831256343E-005</v>
      </c>
      <c r="K47" s="4" t="n">
        <f aca="false">H47*E47</f>
        <v>0.156942272016296</v>
      </c>
      <c r="L47" s="11" t="n">
        <f aca="false">H47^2*E47*(1-E47)/C47</f>
        <v>0</v>
      </c>
      <c r="M47" s="4" t="n">
        <f aca="false">H47*F47</f>
        <v>0.156942272016296</v>
      </c>
      <c r="N47" s="11" t="n">
        <f aca="false">H47^2*F47*(1-F47)/C47</f>
        <v>0</v>
      </c>
    </row>
    <row r="48" customFormat="false" ht="15" hidden="false" customHeight="false" outlineLevel="0" collapsed="false">
      <c r="A48" s="2" t="s">
        <v>23</v>
      </c>
      <c r="B48" s="8" t="s">
        <v>46</v>
      </c>
      <c r="C48" s="9" t="n">
        <v>35</v>
      </c>
      <c r="D48" s="5" t="n">
        <v>0.84289477208804</v>
      </c>
      <c r="E48" s="5" t="n">
        <v>0.969954015804277</v>
      </c>
      <c r="F48" s="5" t="n">
        <v>1</v>
      </c>
      <c r="G48" s="10" t="n">
        <v>18658</v>
      </c>
      <c r="H48" s="4" t="n">
        <f aca="false">G48/SUMIFS($G:$G,$A:$A,A48)</f>
        <v>0.056557903798819</v>
      </c>
      <c r="I48" s="4" t="n">
        <f aca="false">H48*D48</f>
        <v>0.0476723614322828</v>
      </c>
      <c r="J48" s="11" t="n">
        <f aca="false">H48^2*D48*(1-D48)/C48</f>
        <v>1.21027082062679E-005</v>
      </c>
      <c r="K48" s="4" t="n">
        <f aca="false">H48*E48</f>
        <v>0.0548585659151365</v>
      </c>
      <c r="L48" s="11" t="n">
        <f aca="false">H48^2*E48*(1-E48)/C48</f>
        <v>2.66352112297392E-006</v>
      </c>
      <c r="M48" s="4" t="n">
        <f aca="false">H48*F48</f>
        <v>0.056557903798819</v>
      </c>
      <c r="N48" s="11" t="n">
        <f aca="false">H48^2*F48*(1-F48)/C48</f>
        <v>0</v>
      </c>
    </row>
    <row r="49" customFormat="false" ht="15" hidden="false" customHeight="false" outlineLevel="0" collapsed="false">
      <c r="A49" s="2" t="s">
        <v>23</v>
      </c>
      <c r="B49" s="8" t="s">
        <v>47</v>
      </c>
      <c r="C49" s="9" t="n">
        <v>12</v>
      </c>
      <c r="D49" s="5" t="n">
        <v>1</v>
      </c>
      <c r="E49" s="5" t="n">
        <v>0.935557149689144</v>
      </c>
      <c r="F49" s="5" t="n">
        <v>1</v>
      </c>
      <c r="G49" s="10" t="n">
        <v>13768</v>
      </c>
      <c r="H49" s="4" t="n">
        <f aca="false">G49/SUMIFS($G:$G,$A:$A,A49)</f>
        <v>0.0417348708062032</v>
      </c>
      <c r="I49" s="4" t="n">
        <f aca="false">H49*D49</f>
        <v>0.0417348708062032</v>
      </c>
      <c r="J49" s="11" t="n">
        <f aca="false">H49^2*D49*(1-D49)/C49</f>
        <v>0</v>
      </c>
      <c r="K49" s="4" t="n">
        <f aca="false">H49*E49</f>
        <v>0.0390453567740962</v>
      </c>
      <c r="L49" s="11" t="n">
        <f aca="false">H49^2*E49*(1-E49)/C49</f>
        <v>8.75108624437988E-006</v>
      </c>
      <c r="M49" s="4" t="n">
        <f aca="false">H49*F49</f>
        <v>0.0417348708062032</v>
      </c>
      <c r="N49" s="11" t="n">
        <f aca="false">H49^2*F49*(1-F49)/C49</f>
        <v>0</v>
      </c>
    </row>
    <row r="51" customFormat="false" ht="15" hidden="false" customHeight="false" outlineLevel="0" collapsed="false">
      <c r="A51" s="7" t="s">
        <v>48</v>
      </c>
    </row>
    <row r="52" customFormat="false" ht="15" hidden="false" customHeight="false" outlineLevel="0" collapsed="false">
      <c r="A52" s="7" t="s">
        <v>49</v>
      </c>
    </row>
    <row r="53" customFormat="false" ht="15" hidden="false" customHeight="false" outlineLevel="0" collapsed="false">
      <c r="A53" s="7" t="s">
        <v>50</v>
      </c>
    </row>
    <row r="54" customFormat="false" ht="15" hidden="false" customHeight="false" outlineLevel="0" collapsed="false">
      <c r="A54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2026-10-14T19:55:50Z</dcterms:created>
  <dc:creator>openpyxl</dc:creator>
  <dc:description/>
  <dc:language>en-US</dc:language>
  <cp:lastModifiedBy/>
  <dcterms:modified xsi:type="dcterms:W3CDTF">2026-10-14T19:55:50Z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